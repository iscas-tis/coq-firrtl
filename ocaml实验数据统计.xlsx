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rojects\coq-firrtl\"/>
    </mc:Choice>
  </mc:AlternateContent>
  <bookViews>
    <workbookView xWindow="0" yWindow="0" windowWidth="24225" windowHeight="12420" activeTab="5"/>
  </bookViews>
  <sheets>
    <sheet name="Sheet1" sheetId="1" r:id="rId1"/>
    <sheet name="Treadle-benchmark" sheetId="2" r:id="rId2"/>
    <sheet name="Agda-benchmarks" sheetId="3" r:id="rId3"/>
    <sheet name="Our-own" sheetId="4" r:id="rId4"/>
    <sheet name="Chisel-Book-benchmarks" sheetId="5" r:id="rId5"/>
    <sheet name="Sheet2" sheetId="6" r:id="rId6"/>
  </sheets>
  <calcPr calcId="162913"/>
</workbook>
</file>

<file path=xl/calcChain.xml><?xml version="1.0" encoding="utf-8"?>
<calcChain xmlns="http://schemas.openxmlformats.org/spreadsheetml/2006/main">
  <c r="E5" i="4" l="1"/>
  <c r="D5" i="4"/>
  <c r="C5" i="4"/>
  <c r="B5" i="4"/>
  <c r="E7" i="6" l="1"/>
  <c r="D7" i="6"/>
  <c r="C7" i="6"/>
  <c r="B7" i="6"/>
  <c r="E59" i="1"/>
  <c r="E80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D80" i="5"/>
  <c r="C80" i="5"/>
  <c r="B80" i="5"/>
  <c r="B7" i="3" l="1"/>
  <c r="E129" i="1"/>
  <c r="E128" i="1"/>
  <c r="E126" i="1"/>
  <c r="E125" i="1"/>
  <c r="E124" i="1"/>
  <c r="E123" i="1"/>
  <c r="E122" i="1"/>
  <c r="E121" i="1"/>
  <c r="E120" i="1"/>
  <c r="E119" i="1"/>
  <c r="E118" i="1"/>
  <c r="E117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8" i="1"/>
  <c r="E57" i="1"/>
  <c r="E56" i="1"/>
  <c r="E55" i="1"/>
  <c r="E54" i="1"/>
  <c r="E53" i="1"/>
  <c r="E52" i="1"/>
  <c r="E51" i="1"/>
  <c r="E50" i="1"/>
  <c r="E49" i="1"/>
  <c r="E46" i="1"/>
  <c r="E45" i="1"/>
  <c r="E44" i="1"/>
  <c r="E43" i="1"/>
  <c r="E40" i="1"/>
  <c r="E39" i="1"/>
  <c r="E38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3" i="5"/>
  <c r="E4" i="4"/>
  <c r="E3" i="4"/>
  <c r="D7" i="3"/>
  <c r="C7" i="3"/>
  <c r="E6" i="3"/>
  <c r="E5" i="3"/>
  <c r="E4" i="3"/>
  <c r="E3" i="3"/>
  <c r="E7" i="3" s="1"/>
  <c r="E37" i="2"/>
  <c r="E36" i="2"/>
  <c r="E31" i="2"/>
  <c r="E30" i="2"/>
  <c r="E25" i="2"/>
  <c r="E24" i="2"/>
  <c r="E19" i="2"/>
  <c r="E18" i="2"/>
  <c r="E13" i="2"/>
  <c r="E12" i="2"/>
  <c r="E7" i="2"/>
  <c r="C40" i="2"/>
  <c r="D40" i="2"/>
  <c r="B40" i="2"/>
  <c r="E38" i="2"/>
  <c r="E39" i="2"/>
  <c r="E3" i="2"/>
  <c r="E4" i="2"/>
  <c r="E5" i="2"/>
  <c r="E8" i="2"/>
  <c r="E9" i="2"/>
  <c r="E10" i="2"/>
  <c r="E11" i="2"/>
  <c r="E14" i="2"/>
  <c r="E15" i="2"/>
  <c r="E16" i="2"/>
  <c r="E17" i="2"/>
  <c r="E20" i="2"/>
  <c r="E21" i="2"/>
  <c r="E22" i="2"/>
  <c r="E23" i="2"/>
  <c r="E26" i="2"/>
  <c r="E27" i="2"/>
  <c r="E28" i="2"/>
  <c r="E29" i="2"/>
  <c r="E32" i="2"/>
  <c r="E33" i="2"/>
  <c r="E34" i="2"/>
  <c r="E35" i="2"/>
  <c r="E6" i="2" l="1"/>
  <c r="E40" i="2" s="1"/>
</calcChain>
</file>

<file path=xl/sharedStrings.xml><?xml version="1.0" encoding="utf-8"?>
<sst xmlns="http://schemas.openxmlformats.org/spreadsheetml/2006/main" count="544" uniqueCount="158">
  <si>
    <t>AggregatePassThrough</t>
  </si>
  <si>
    <t>√</t>
  </si>
  <si>
    <t>ALU</t>
  </si>
  <si>
    <t>BundlePassThrough</t>
  </si>
  <si>
    <t>ConstantTapTransposedStreamingFIR</t>
  </si>
  <si>
    <t>DoesAbs</t>
  </si>
  <si>
    <t>DriverTest</t>
  </si>
  <si>
    <t>EqModule</t>
  </si>
  <si>
    <t>ExampleModule</t>
  </si>
  <si>
    <t>FixedPointAdder</t>
  </si>
  <si>
    <t>FixedPointDivide</t>
  </si>
  <si>
    <t>FixedPointReduce</t>
  </si>
  <si>
    <t>FixedPointShifter</t>
  </si>
  <si>
    <t>FixedPrecisionChanger</t>
  </si>
  <si>
    <t>FixedRing1</t>
  </si>
  <si>
    <t>GCD</t>
  </si>
  <si>
    <t>HardwareHashMaker</t>
  </si>
  <si>
    <t>IntegerModule</t>
  </si>
  <si>
    <t>OverflowTypeCircuit</t>
  </si>
  <si>
    <t>ParameterizedNumberOperation</t>
  </si>
  <si>
    <t>PeekPokeBundleSpecMyCircuit</t>
  </si>
  <si>
    <t>RealGCD2</t>
  </si>
  <si>
    <t>RealGCD3</t>
  </si>
  <si>
    <t>RemoveMantissa</t>
  </si>
  <si>
    <t>RingModule</t>
  </si>
  <si>
    <t>ShouldBeBadUIntSubtractWithGrow</t>
  </si>
  <si>
    <t>SignedAdder</t>
  </si>
  <si>
    <t>SignedModule</t>
  </si>
  <si>
    <t>SimpleAdder</t>
  </si>
  <si>
    <t>SimpleCaseClassModule</t>
  </si>
  <si>
    <t>SimpleComplexAdder</t>
  </si>
  <si>
    <t>Sort</t>
  </si>
  <si>
    <t>UseMyBundle</t>
  </si>
  <si>
    <t>VecPassThrough</t>
  </si>
  <si>
    <t>VF</t>
  </si>
  <si>
    <t>Accumulator</t>
  </si>
  <si>
    <t>Combinational</t>
  </si>
  <si>
    <t>FibCircuit</t>
  </si>
  <si>
    <t>ShiftRegister</t>
  </si>
  <si>
    <t>Benchmark name</t>
    <phoneticPr fontId="3" type="noConversion"/>
  </si>
  <si>
    <t>Result</t>
    <phoneticPr fontId="3" type="noConversion"/>
  </si>
  <si>
    <t>Ours</t>
    <phoneticPr fontId="3" type="noConversion"/>
  </si>
  <si>
    <t>#LOC</t>
    <phoneticPr fontId="3" type="noConversion"/>
  </si>
  <si>
    <t>Speedup</t>
    <phoneticPr fontId="3" type="noConversion"/>
  </si>
  <si>
    <t>Speedup</t>
    <phoneticPr fontId="3" type="noConversion"/>
  </si>
  <si>
    <t xml:space="preserve"> </t>
  </si>
  <si>
    <t>ContextNestingTop</t>
  </si>
  <si>
    <t>MultiGcdCalculator</t>
  </si>
  <si>
    <t>StreamingAutocorrelator</t>
  </si>
  <si>
    <t xml:space="preserve">Treadle </t>
    <phoneticPr fontId="3" type="noConversion"/>
  </si>
  <si>
    <t>Execution time (us)</t>
    <phoneticPr fontId="3" type="noConversion"/>
  </si>
  <si>
    <t>Average</t>
    <phoneticPr fontId="3" type="noConversion"/>
  </si>
  <si>
    <t>Mytest</t>
  </si>
  <si>
    <t>time in treadle</t>
  </si>
  <si>
    <t>time in ocaml</t>
  </si>
  <si>
    <t>result</t>
  </si>
  <si>
    <t>speed up</t>
  </si>
  <si>
    <t>loc</t>
  </si>
  <si>
    <t>treadle samples</t>
  </si>
  <si>
    <t>inst</t>
  </si>
  <si>
    <t>agda samples</t>
  </si>
  <si>
    <t>chisel book samples</t>
  </si>
  <si>
    <t>Adder</t>
  </si>
  <si>
    <t>Alu</t>
  </si>
  <si>
    <t>Arbiter3</t>
  </si>
  <si>
    <t>Arbiter3Direct</t>
  </si>
  <si>
    <t>Arbiter3Loop</t>
  </si>
  <si>
    <t>ArbiterSimpleTree</t>
  </si>
  <si>
    <t>ArbiterTree</t>
  </si>
  <si>
    <t>BasicExercise</t>
  </si>
  <si>
    <t>BasicPrefixAdder</t>
  </si>
  <si>
    <t>BcdTable</t>
  </si>
  <si>
    <t>BundleVec</t>
  </si>
  <si>
    <t>CarryLookaheadAdder</t>
  </si>
  <si>
    <t>CarryRippleAdder</t>
  </si>
  <si>
    <t>CarrySelectAdder</t>
  </si>
  <si>
    <t>CarrySkipAdder</t>
  </si>
  <si>
    <t>CombElseWhen</t>
  </si>
  <si>
    <t>CombOther</t>
  </si>
  <si>
    <t>CombWhen</t>
  </si>
  <si>
    <t>CombWhen2Untested</t>
  </si>
  <si>
    <t>CombWireDefault</t>
  </si>
  <si>
    <t>Comparator 用gt做node名，改为gt1.</t>
  </si>
  <si>
    <t>CompFn</t>
  </si>
  <si>
    <t>Conditional</t>
  </si>
  <si>
    <t>Count100</t>
  </si>
  <si>
    <t>CountBool</t>
  </si>
  <si>
    <t>CounterDevice</t>
  </si>
  <si>
    <t>Debounce</t>
  </si>
  <si>
    <t>DownCounter</t>
  </si>
  <si>
    <t>DownTicker</t>
  </si>
  <si>
    <t>DrawAcc</t>
  </si>
  <si>
    <t>DrawMux6</t>
  </si>
  <si>
    <t>EncDec</t>
  </si>
  <si>
    <t>FifoRegister</t>
  </si>
  <si>
    <t>FileReader</t>
  </si>
  <si>
    <t>Flasher2</t>
  </si>
  <si>
    <t>FunctionalAdd</t>
  </si>
  <si>
    <t>FunctionalComp</t>
  </si>
  <si>
    <t>FunctionalMin</t>
  </si>
  <si>
    <t>FunctionCounter</t>
  </si>
  <si>
    <t>GenHardware</t>
  </si>
  <si>
    <t>Hello</t>
  </si>
  <si>
    <t>Logic</t>
  </si>
  <si>
    <t>MemMappedRV</t>
  </si>
  <si>
    <t>MinFanoutPrefixAdder</t>
  </si>
  <si>
    <t>MuxCounter</t>
  </si>
  <si>
    <t>NerdCounter</t>
  </si>
  <si>
    <t>NerdTicker</t>
  </si>
  <si>
    <t>ParamAdder</t>
  </si>
  <si>
    <t>ParamFunc</t>
  </si>
  <si>
    <t>Pwm</t>
  </si>
  <si>
    <t>ReadyValidBuffer</t>
  </si>
  <si>
    <t>Register</t>
  </si>
  <si>
    <t>Registers</t>
  </si>
  <si>
    <t>RisingFsm</t>
  </si>
  <si>
    <t>RisingMooreFsm</t>
  </si>
  <si>
    <t>ScalaGen</t>
  </si>
  <si>
    <t>SequCounter</t>
  </si>
  <si>
    <t>Sequential</t>
  </si>
  <si>
    <t>SimpleFsm</t>
  </si>
  <si>
    <t>SinkClock</t>
  </si>
  <si>
    <t>SourceClock</t>
  </si>
  <si>
    <t>Timer</t>
  </si>
  <si>
    <t>UIntVsU</t>
  </si>
  <si>
    <t>UpTicker</t>
  </si>
  <si>
    <t>WhenCounter</t>
  </si>
  <si>
    <t>insts</t>
  </si>
  <si>
    <t>BubbleFifo</t>
  </si>
  <si>
    <t>ClockDomains</t>
  </si>
  <si>
    <t>Count10</t>
  </si>
  <si>
    <t>Formal</t>
  </si>
  <si>
    <t>PopulationCount</t>
  </si>
  <si>
    <t>SyncReset</t>
  </si>
  <si>
    <t>UseAdder</t>
  </si>
  <si>
    <t>UseMemMappedRV</t>
  </si>
  <si>
    <t>UseParamRouter</t>
  </si>
  <si>
    <t>UseParamRouter2</t>
  </si>
  <si>
    <t>覆盖没有涉及到的运算</t>
  </si>
  <si>
    <t>没有涉及到的inst嵌套情况</t>
  </si>
  <si>
    <t>单位：ms</t>
  </si>
  <si>
    <t>需要改名的lofir：FunctionalComp Debounce Logic</t>
  </si>
  <si>
    <t>Comparator</t>
    <phoneticPr fontId="3" type="noConversion"/>
  </si>
  <si>
    <t>X</t>
    <phoneticPr fontId="3" type="noConversion"/>
  </si>
  <si>
    <t xml:space="preserve"> 答案不一致 validif处理方法不同</t>
    <phoneticPr fontId="3" type="noConversion"/>
  </si>
  <si>
    <t>X</t>
    <phoneticPr fontId="3" type="noConversion"/>
  </si>
  <si>
    <r>
      <t>T</t>
    </r>
    <r>
      <rPr>
        <sz val="11"/>
        <color theme="1"/>
        <rFont val="宋体"/>
        <family val="3"/>
        <charset val="134"/>
        <scheme val="minor"/>
      </rPr>
      <t>readle</t>
    </r>
    <phoneticPr fontId="3" type="noConversion"/>
  </si>
  <si>
    <t>\cite{HarrisonHA21}</t>
  </si>
  <si>
    <t xml:space="preserve"> Chisel Book</t>
  </si>
  <si>
    <r>
      <t>Our</t>
    </r>
    <r>
      <rPr>
        <sz val="11"/>
        <color theme="1"/>
        <rFont val="宋体"/>
        <family val="3"/>
        <charset val="134"/>
        <scheme val="minor"/>
      </rPr>
      <t xml:space="preserve"> own</t>
    </r>
    <phoneticPr fontId="3" type="noConversion"/>
  </si>
  <si>
    <t>#LOC</t>
    <phoneticPr fontId="3" type="noConversion"/>
  </si>
  <si>
    <t>Benchmark</t>
    <phoneticPr fontId="3" type="noConversion"/>
  </si>
  <si>
    <t>√</t>
    <phoneticPr fontId="3" type="noConversion"/>
  </si>
  <si>
    <t>Average</t>
    <phoneticPr fontId="3" type="noConversion"/>
  </si>
  <si>
    <t>circuits</t>
    <phoneticPr fontId="3" type="noConversion"/>
  </si>
  <si>
    <t>BundleVec</t>
    <phoneticPr fontId="3" type="noConversion"/>
  </si>
  <si>
    <t>GCD</t>
    <phoneticPr fontId="3" type="noConversion"/>
  </si>
  <si>
    <t>Mytestinst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</si>
</sst>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00_ "/>
    <numFmt numFmtId="177" formatCode="0.00;[Red]0.00"/>
    <numFmt numFmtId="178" formatCode="0.00_ "/>
    <numFmt numFmtId="179" formatCode="0.00000_ "/>
  </numFmts>
  <fonts count="8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178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0" applyNumberForma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4"/>
  <sheetViews>
    <sheetView topLeftCell="A97" workbookViewId="0">
      <selection activeCell="B128" sqref="B128"/>
    </sheetView>
  </sheetViews>
  <sheetFormatPr defaultColWidth="9" defaultRowHeight="13.5" x14ac:dyDescent="0.15"/>
  <cols>
    <col min="1" max="1" width="38.75" customWidth="1"/>
    <col min="2" max="2" width="17.125" customWidth="1"/>
    <col min="3" max="3" width="14.875" customWidth="1"/>
    <col min="4" max="4" width="7.375" customWidth="1"/>
    <col min="5" max="5" width="9.375" customWidth="1"/>
    <col min="6" max="6" width="9" style="3"/>
  </cols>
  <sheetData>
    <row r="1" spans="1:6" ht="14.25" x14ac:dyDescent="0.15">
      <c r="A1" s="1"/>
      <c r="B1" s="1" t="s">
        <v>53</v>
      </c>
      <c r="C1" s="1" t="s">
        <v>54</v>
      </c>
      <c r="D1" s="1" t="s">
        <v>55</v>
      </c>
      <c r="E1" s="1" t="s">
        <v>56</v>
      </c>
      <c r="F1" s="3" t="s">
        <v>57</v>
      </c>
    </row>
    <row r="2" spans="1:6" ht="14.25" x14ac:dyDescent="0.15">
      <c r="A2" s="1"/>
      <c r="B2" s="41" t="s">
        <v>58</v>
      </c>
      <c r="C2" s="41"/>
      <c r="D2" s="41"/>
      <c r="E2" s="41"/>
      <c r="F2" s="41"/>
    </row>
    <row r="3" spans="1:6" ht="14.25" x14ac:dyDescent="0.15">
      <c r="A3" s="2" t="s">
        <v>0</v>
      </c>
      <c r="B3" s="3">
        <v>1.3831E-2</v>
      </c>
      <c r="C3" s="3">
        <v>3.5720000000000001E-3</v>
      </c>
      <c r="D3" s="1" t="s">
        <v>1</v>
      </c>
      <c r="E3" s="1">
        <f>(B3-C3)/C3</f>
        <v>2.8720604703247479</v>
      </c>
      <c r="F3" s="3">
        <v>72</v>
      </c>
    </row>
    <row r="4" spans="1:6" ht="14.25" x14ac:dyDescent="0.15">
      <c r="A4" s="1" t="s">
        <v>2</v>
      </c>
      <c r="B4" s="3">
        <v>2.4653999999999999E-2</v>
      </c>
      <c r="C4" s="3">
        <v>2.5782000000000001E-3</v>
      </c>
      <c r="D4" s="1" t="s">
        <v>1</v>
      </c>
      <c r="E4" s="1">
        <f t="shared" ref="E4:E40" si="0">(B4-C4)/C4</f>
        <v>8.5624854549685825</v>
      </c>
      <c r="F4" s="3">
        <v>61</v>
      </c>
    </row>
    <row r="5" spans="1:6" ht="14.25" x14ac:dyDescent="0.15">
      <c r="A5" s="2" t="s">
        <v>3</v>
      </c>
      <c r="B5" s="3">
        <v>8.7130000000000003E-3</v>
      </c>
      <c r="C5" s="3">
        <v>2.1584E-3</v>
      </c>
      <c r="D5" s="1" t="s">
        <v>1</v>
      </c>
      <c r="E5" s="1">
        <f t="shared" si="0"/>
        <v>3.0367865085248336</v>
      </c>
      <c r="F5" s="3">
        <v>27</v>
      </c>
    </row>
    <row r="6" spans="1:6" ht="14.25" x14ac:dyDescent="0.15">
      <c r="A6" s="2" t="s">
        <v>4</v>
      </c>
      <c r="B6" s="3">
        <v>1.1481999999999999E-2</v>
      </c>
      <c r="C6" s="3">
        <v>1.4019E-3</v>
      </c>
      <c r="D6" s="1" t="s">
        <v>1</v>
      </c>
      <c r="E6" s="1">
        <f t="shared" si="0"/>
        <v>7.1903131464441117</v>
      </c>
      <c r="F6" s="3">
        <v>35</v>
      </c>
    </row>
    <row r="7" spans="1:6" ht="14.25" x14ac:dyDescent="0.15">
      <c r="A7" s="2" t="s">
        <v>5</v>
      </c>
      <c r="B7" s="3">
        <v>1.1672999999999999E-2</v>
      </c>
      <c r="C7" s="3">
        <v>2.8901999999999999E-3</v>
      </c>
      <c r="D7" s="1" t="s">
        <v>1</v>
      </c>
      <c r="E7" s="1">
        <f t="shared" si="0"/>
        <v>3.0388208428482462</v>
      </c>
      <c r="F7" s="3">
        <v>36</v>
      </c>
    </row>
    <row r="8" spans="1:6" ht="14.25" x14ac:dyDescent="0.15">
      <c r="A8" s="2" t="s">
        <v>6</v>
      </c>
      <c r="B8" s="3">
        <v>6.4289999999999998E-3</v>
      </c>
      <c r="C8" s="3">
        <v>6.3420000000000002E-4</v>
      </c>
      <c r="D8" s="1" t="s">
        <v>1</v>
      </c>
      <c r="E8" s="1">
        <f t="shared" si="0"/>
        <v>9.137180700094607</v>
      </c>
      <c r="F8" s="3">
        <v>8</v>
      </c>
    </row>
    <row r="9" spans="1:6" ht="14.25" x14ac:dyDescent="0.15">
      <c r="A9" s="2" t="s">
        <v>7</v>
      </c>
      <c r="B9" s="3">
        <v>8.2889999999999995E-3</v>
      </c>
      <c r="C9" s="3">
        <v>6.3520000000000004E-4</v>
      </c>
      <c r="D9" s="1" t="s">
        <v>1</v>
      </c>
      <c r="E9" s="1">
        <f t="shared" si="0"/>
        <v>12.049433249370276</v>
      </c>
      <c r="F9" s="3">
        <v>9</v>
      </c>
    </row>
    <row r="10" spans="1:6" ht="14.25" x14ac:dyDescent="0.15">
      <c r="A10" s="2" t="s">
        <v>8</v>
      </c>
      <c r="B10" s="3">
        <v>1.1469999999999999E-2</v>
      </c>
      <c r="C10" s="3">
        <v>2.0038E-3</v>
      </c>
      <c r="D10" s="1" t="s">
        <v>1</v>
      </c>
      <c r="E10" s="1">
        <f t="shared" si="0"/>
        <v>4.7241241640882317</v>
      </c>
      <c r="F10" s="3">
        <v>44</v>
      </c>
    </row>
    <row r="11" spans="1:6" ht="14.25" x14ac:dyDescent="0.15">
      <c r="A11" s="2" t="s">
        <v>9</v>
      </c>
      <c r="B11" s="3">
        <v>9.3570000000000007E-3</v>
      </c>
      <c r="C11" s="3">
        <v>4.705E-4</v>
      </c>
      <c r="D11" s="1" t="s">
        <v>1</v>
      </c>
      <c r="E11" s="1">
        <f t="shared" si="0"/>
        <v>18.887353878852284</v>
      </c>
      <c r="F11" s="3">
        <v>11</v>
      </c>
    </row>
    <row r="12" spans="1:6" ht="14.25" x14ac:dyDescent="0.15">
      <c r="A12" s="2" t="s">
        <v>10</v>
      </c>
      <c r="B12" s="3">
        <v>7.3029999999999996E-3</v>
      </c>
      <c r="C12" s="3">
        <v>4.0089999999999999E-4</v>
      </c>
      <c r="D12" s="1" t="s">
        <v>1</v>
      </c>
      <c r="E12" s="1">
        <f t="shared" si="0"/>
        <v>17.216512846096283</v>
      </c>
      <c r="F12" s="3">
        <v>10</v>
      </c>
    </row>
    <row r="13" spans="1:6" ht="14.25" x14ac:dyDescent="0.15">
      <c r="A13" s="2" t="s">
        <v>11</v>
      </c>
      <c r="B13" s="3">
        <v>1.8402000000000002E-2</v>
      </c>
      <c r="C13" s="3">
        <v>2.3828E-3</v>
      </c>
      <c r="D13" s="1" t="s">
        <v>1</v>
      </c>
      <c r="E13" s="1">
        <f t="shared" si="0"/>
        <v>6.7228470706731578</v>
      </c>
      <c r="F13" s="3">
        <v>43</v>
      </c>
    </row>
    <row r="14" spans="1:6" ht="14.25" x14ac:dyDescent="0.15">
      <c r="A14" s="2" t="s">
        <v>12</v>
      </c>
      <c r="B14" s="3">
        <v>1.0111999999999999E-2</v>
      </c>
      <c r="C14" s="3">
        <v>1.5891E-3</v>
      </c>
      <c r="D14" s="1" t="s">
        <v>1</v>
      </c>
      <c r="E14" s="1">
        <f t="shared" si="0"/>
        <v>5.3633503240828144</v>
      </c>
      <c r="F14" s="3">
        <v>15</v>
      </c>
    </row>
    <row r="15" spans="1:6" ht="14.25" x14ac:dyDescent="0.15">
      <c r="A15" s="2" t="s">
        <v>13</v>
      </c>
      <c r="B15" s="3">
        <v>9.5049999999999996E-3</v>
      </c>
      <c r="C15" s="3">
        <v>6.4090000000000002E-4</v>
      </c>
      <c r="D15" s="1" t="s">
        <v>1</v>
      </c>
      <c r="E15" s="1">
        <f t="shared" si="0"/>
        <v>13.830706818536433</v>
      </c>
      <c r="F15" s="3">
        <v>10</v>
      </c>
    </row>
    <row r="16" spans="1:6" ht="14.25" x14ac:dyDescent="0.15">
      <c r="A16" s="2" t="s">
        <v>14</v>
      </c>
      <c r="B16" s="3">
        <v>9.2549999999999993E-3</v>
      </c>
      <c r="C16" s="3">
        <v>2.8054E-3</v>
      </c>
      <c r="D16" s="1" t="s">
        <v>1</v>
      </c>
      <c r="E16" s="1">
        <f t="shared" si="0"/>
        <v>2.2989947957510513</v>
      </c>
      <c r="F16" s="3">
        <v>26</v>
      </c>
    </row>
    <row r="17" spans="1:6" ht="14.25" x14ac:dyDescent="0.15">
      <c r="A17" s="1" t="s">
        <v>15</v>
      </c>
      <c r="B17" s="3">
        <v>9.7459999999999995E-3</v>
      </c>
      <c r="C17" s="3">
        <v>2.1129999999999999E-3</v>
      </c>
      <c r="D17" s="1" t="s">
        <v>1</v>
      </c>
      <c r="E17" s="1">
        <f t="shared" si="0"/>
        <v>3.6123994320870798</v>
      </c>
      <c r="F17" s="3">
        <v>30</v>
      </c>
    </row>
    <row r="18" spans="1:6" ht="14.25" x14ac:dyDescent="0.15">
      <c r="A18" s="2" t="s">
        <v>16</v>
      </c>
      <c r="B18" s="3">
        <v>2.8382000000000001E-2</v>
      </c>
      <c r="C18" s="3">
        <v>3.1491999999999999E-2</v>
      </c>
      <c r="D18" s="1" t="s">
        <v>1</v>
      </c>
      <c r="E18" s="1">
        <f t="shared" si="0"/>
        <v>-9.8755239425885891E-2</v>
      </c>
      <c r="F18" s="3">
        <v>122</v>
      </c>
    </row>
    <row r="19" spans="1:6" ht="14.25" x14ac:dyDescent="0.15">
      <c r="A19" s="2" t="s">
        <v>17</v>
      </c>
      <c r="B19" s="3">
        <v>7.3460000000000001E-3</v>
      </c>
      <c r="C19" s="3">
        <v>7.4339999999999996E-4</v>
      </c>
      <c r="D19" s="1" t="s">
        <v>1</v>
      </c>
      <c r="E19" s="1">
        <f t="shared" si="0"/>
        <v>8.8816249663707296</v>
      </c>
      <c r="F19" s="3">
        <v>11</v>
      </c>
    </row>
    <row r="20" spans="1:6" ht="14.25" x14ac:dyDescent="0.15">
      <c r="A20" s="2" t="s">
        <v>18</v>
      </c>
      <c r="B20" s="3">
        <v>9.9000000000000008E-3</v>
      </c>
      <c r="C20" s="3">
        <v>2.1640000000000001E-3</v>
      </c>
      <c r="D20" s="1" t="s">
        <v>1</v>
      </c>
      <c r="E20" s="1">
        <f t="shared" si="0"/>
        <v>3.5748613678373382</v>
      </c>
      <c r="F20" s="3">
        <v>34</v>
      </c>
    </row>
    <row r="21" spans="1:6" ht="14.25" x14ac:dyDescent="0.15">
      <c r="A21" s="2" t="s">
        <v>19</v>
      </c>
      <c r="B21" s="3">
        <v>1.0931E-2</v>
      </c>
      <c r="C21" s="3">
        <v>5.2320000000000003E-4</v>
      </c>
      <c r="D21" s="1" t="s">
        <v>1</v>
      </c>
      <c r="E21" s="1">
        <f t="shared" si="0"/>
        <v>19.892584097859327</v>
      </c>
      <c r="F21" s="3">
        <v>12</v>
      </c>
    </row>
    <row r="22" spans="1:6" ht="14.25" x14ac:dyDescent="0.15">
      <c r="A22" s="2" t="s">
        <v>20</v>
      </c>
      <c r="B22" s="3">
        <v>9.11E-3</v>
      </c>
      <c r="C22" s="3">
        <v>2.0127999999999999E-3</v>
      </c>
      <c r="D22" s="1" t="s">
        <v>1</v>
      </c>
      <c r="E22" s="1">
        <f t="shared" si="0"/>
        <v>3.5260333863275042</v>
      </c>
      <c r="F22" s="3">
        <v>17</v>
      </c>
    </row>
    <row r="23" spans="1:6" ht="14.25" x14ac:dyDescent="0.15">
      <c r="A23" s="2" t="s">
        <v>21</v>
      </c>
      <c r="B23" s="3">
        <v>9.979E-3</v>
      </c>
      <c r="C23" s="3">
        <v>2.6018999999999999E-3</v>
      </c>
      <c r="D23" s="1" t="s">
        <v>1</v>
      </c>
      <c r="E23" s="1">
        <f t="shared" si="0"/>
        <v>2.8352742226834238</v>
      </c>
      <c r="F23" s="3">
        <v>44</v>
      </c>
    </row>
    <row r="24" spans="1:6" ht="14.25" x14ac:dyDescent="0.15">
      <c r="A24" s="2" t="s">
        <v>22</v>
      </c>
      <c r="B24" s="3">
        <v>1.2662E-2</v>
      </c>
      <c r="C24" s="3">
        <v>2.7085999999999998E-3</v>
      </c>
      <c r="D24" s="1" t="s">
        <v>1</v>
      </c>
      <c r="E24" s="1">
        <f t="shared" si="0"/>
        <v>3.6747397179354651</v>
      </c>
      <c r="F24" s="3">
        <v>48</v>
      </c>
    </row>
    <row r="25" spans="1:6" ht="14.25" x14ac:dyDescent="0.15">
      <c r="A25" s="2" t="s">
        <v>23</v>
      </c>
      <c r="B25" s="3">
        <v>8.482E-3</v>
      </c>
      <c r="C25" s="3">
        <v>5.5110000000000001E-4</v>
      </c>
      <c r="D25" s="1" t="s">
        <v>1</v>
      </c>
      <c r="E25" s="1">
        <f t="shared" si="0"/>
        <v>14.391036109598982</v>
      </c>
      <c r="F25" s="3">
        <v>10</v>
      </c>
    </row>
    <row r="26" spans="1:6" ht="14.25" x14ac:dyDescent="0.15">
      <c r="A26" s="2" t="s">
        <v>24</v>
      </c>
      <c r="B26" s="3">
        <v>6.9100000000000003E-3</v>
      </c>
      <c r="C26" s="3">
        <v>6.445E-4</v>
      </c>
      <c r="D26" s="1" t="s">
        <v>1</v>
      </c>
      <c r="E26" s="1">
        <f t="shared" si="0"/>
        <v>9.7214895267649339</v>
      </c>
      <c r="F26" s="3">
        <v>11</v>
      </c>
    </row>
    <row r="27" spans="1:6" ht="14.25" x14ac:dyDescent="0.15">
      <c r="A27" s="2" t="s">
        <v>25</v>
      </c>
      <c r="B27" s="3">
        <v>7.8139999999999998E-3</v>
      </c>
      <c r="C27" s="3">
        <v>6.5519999999999999E-4</v>
      </c>
      <c r="D27" s="1" t="s">
        <v>1</v>
      </c>
      <c r="E27" s="1">
        <f t="shared" si="0"/>
        <v>10.926129426129426</v>
      </c>
      <c r="F27" s="3">
        <v>14</v>
      </c>
    </row>
    <row r="28" spans="1:6" ht="14.25" x14ac:dyDescent="0.15">
      <c r="A28" s="2" t="s">
        <v>26</v>
      </c>
      <c r="B28" s="3">
        <v>9.7739999999999997E-3</v>
      </c>
      <c r="C28" s="3">
        <v>6.7549999999999999E-4</v>
      </c>
      <c r="D28" s="1" t="s">
        <v>1</v>
      </c>
      <c r="E28" s="1">
        <f t="shared" si="0"/>
        <v>13.469282013323463</v>
      </c>
      <c r="F28" s="3">
        <v>11</v>
      </c>
    </row>
    <row r="29" spans="1:6" ht="14.25" x14ac:dyDescent="0.15">
      <c r="A29" s="2" t="s">
        <v>27</v>
      </c>
      <c r="B29" s="3">
        <v>6.7910000000000002E-3</v>
      </c>
      <c r="C29" s="3">
        <v>1.3556E-3</v>
      </c>
      <c r="D29" s="1" t="s">
        <v>1</v>
      </c>
      <c r="E29" s="1">
        <f t="shared" si="0"/>
        <v>4.009589849513131</v>
      </c>
      <c r="F29" s="3">
        <v>34</v>
      </c>
    </row>
    <row r="30" spans="1:6" ht="14.25" x14ac:dyDescent="0.15">
      <c r="A30" s="2" t="s">
        <v>28</v>
      </c>
      <c r="B30" s="3">
        <v>9.1369999999999993E-3</v>
      </c>
      <c r="C30" s="3">
        <v>6.9280000000000003E-4</v>
      </c>
      <c r="D30" s="1" t="s">
        <v>1</v>
      </c>
      <c r="E30" s="1">
        <f t="shared" si="0"/>
        <v>12.188510392609698</v>
      </c>
      <c r="F30" s="3">
        <v>15</v>
      </c>
    </row>
    <row r="31" spans="1:6" ht="14.25" x14ac:dyDescent="0.15">
      <c r="A31" s="2" t="s">
        <v>29</v>
      </c>
      <c r="B31" s="3">
        <v>8.7819999999999999E-3</v>
      </c>
      <c r="C31" s="3">
        <v>5.2059999999999997E-4</v>
      </c>
      <c r="D31" s="1" t="s">
        <v>1</v>
      </c>
      <c r="E31" s="1">
        <f t="shared" si="0"/>
        <v>15.868997310795239</v>
      </c>
      <c r="F31" s="3">
        <v>10</v>
      </c>
    </row>
    <row r="32" spans="1:6" ht="14.25" x14ac:dyDescent="0.15">
      <c r="A32" s="2" t="s">
        <v>30</v>
      </c>
      <c r="B32" s="3">
        <v>1.2683E-2</v>
      </c>
      <c r="C32" s="3">
        <v>1.5633999999999999E-3</v>
      </c>
      <c r="D32" s="1" t="s">
        <v>1</v>
      </c>
      <c r="E32" s="1">
        <f t="shared" si="0"/>
        <v>7.1124472303952926</v>
      </c>
      <c r="F32" s="3">
        <v>40</v>
      </c>
    </row>
    <row r="33" spans="1:17" ht="14.25" x14ac:dyDescent="0.15">
      <c r="A33" s="2" t="s">
        <v>31</v>
      </c>
      <c r="B33" s="3">
        <v>1.7528999999999999E-2</v>
      </c>
      <c r="C33" s="3">
        <v>7.1355999999999998E-3</v>
      </c>
      <c r="D33" s="1" t="s">
        <v>1</v>
      </c>
      <c r="E33" s="1">
        <f t="shared" si="0"/>
        <v>1.4565558607545268</v>
      </c>
      <c r="F33" s="3">
        <v>85</v>
      </c>
      <c r="Q33" t="s">
        <v>45</v>
      </c>
    </row>
    <row r="34" spans="1:17" ht="14.25" x14ac:dyDescent="0.15">
      <c r="A34" s="2" t="s">
        <v>32</v>
      </c>
      <c r="B34" s="13">
        <v>8.7500000000000008E-3</v>
      </c>
      <c r="C34" s="3">
        <v>3.1053000000000001E-3</v>
      </c>
      <c r="D34" s="1" t="s">
        <v>1</v>
      </c>
      <c r="E34" s="1">
        <f t="shared" si="0"/>
        <v>1.8177631790809263</v>
      </c>
      <c r="F34" s="3">
        <v>59</v>
      </c>
    </row>
    <row r="35" spans="1:17" ht="14.25" x14ac:dyDescent="0.15">
      <c r="A35" s="2" t="s">
        <v>33</v>
      </c>
      <c r="B35" s="3">
        <v>2.0212000000000001E-2</v>
      </c>
      <c r="C35" s="3">
        <v>5.0562000000000003E-3</v>
      </c>
      <c r="D35" s="1" t="s">
        <v>1</v>
      </c>
      <c r="E35" s="1">
        <f t="shared" si="0"/>
        <v>2.9974684545706261</v>
      </c>
      <c r="F35" s="3">
        <v>75</v>
      </c>
    </row>
    <row r="36" spans="1:17" ht="14.25" x14ac:dyDescent="0.15">
      <c r="A36" s="2" t="s">
        <v>34</v>
      </c>
      <c r="B36" s="3">
        <v>6.5329999999999997E-3</v>
      </c>
      <c r="C36" s="3">
        <v>2.1779E-3</v>
      </c>
      <c r="D36" s="1" t="s">
        <v>1</v>
      </c>
      <c r="E36" s="1">
        <f t="shared" si="0"/>
        <v>1.9996785894669176</v>
      </c>
      <c r="F36" s="3">
        <v>64</v>
      </c>
    </row>
    <row r="37" spans="1:17" ht="14.25" x14ac:dyDescent="0.15">
      <c r="A37" s="2" t="s">
        <v>59</v>
      </c>
      <c r="B37" s="3"/>
      <c r="C37" s="3"/>
      <c r="D37" s="1"/>
      <c r="E37" s="1"/>
    </row>
    <row r="38" spans="1:17" ht="14.25" x14ac:dyDescent="0.15">
      <c r="A38" s="3" t="s">
        <v>46</v>
      </c>
      <c r="B38" s="3">
        <v>8.7620000000000007E-3</v>
      </c>
      <c r="C38" s="3">
        <v>3.0967999999999998E-3</v>
      </c>
      <c r="D38" s="1" t="s">
        <v>1</v>
      </c>
      <c r="E38" s="1">
        <f t="shared" si="0"/>
        <v>1.8293722552312066</v>
      </c>
      <c r="F38" s="3">
        <v>64</v>
      </c>
    </row>
    <row r="39" spans="1:17" ht="14.25" x14ac:dyDescent="0.15">
      <c r="A39" s="3" t="s">
        <v>47</v>
      </c>
      <c r="B39" s="3">
        <v>5.1353000000000003E-2</v>
      </c>
      <c r="C39" s="3">
        <v>1.8334799999999998E-2</v>
      </c>
      <c r="D39" s="1" t="s">
        <v>1</v>
      </c>
      <c r="E39" s="1">
        <f t="shared" si="0"/>
        <v>1.8008486593799773</v>
      </c>
      <c r="F39" s="3">
        <v>133</v>
      </c>
    </row>
    <row r="40" spans="1:17" ht="14.25" x14ac:dyDescent="0.15">
      <c r="A40" s="3" t="s">
        <v>48</v>
      </c>
      <c r="B40" s="3">
        <v>8.7829999999999991E-3</v>
      </c>
      <c r="C40" s="3">
        <v>1.5627E-3</v>
      </c>
      <c r="D40" s="1" t="s">
        <v>1</v>
      </c>
      <c r="E40" s="1">
        <f t="shared" si="0"/>
        <v>4.6204005887246424</v>
      </c>
      <c r="F40" s="3">
        <v>59</v>
      </c>
    </row>
    <row r="41" spans="1:17" x14ac:dyDescent="0.15">
      <c r="A41" s="3"/>
      <c r="B41" s="3"/>
      <c r="C41" s="3"/>
      <c r="D41" s="3"/>
      <c r="E41" s="3"/>
    </row>
    <row r="42" spans="1:17" x14ac:dyDescent="0.15">
      <c r="A42" s="3"/>
      <c r="B42" s="43" t="s">
        <v>60</v>
      </c>
      <c r="C42" s="43"/>
      <c r="D42" s="43"/>
      <c r="E42" s="43"/>
      <c r="F42" s="43"/>
    </row>
    <row r="43" spans="1:17" ht="14.25" x14ac:dyDescent="0.15">
      <c r="A43" s="3" t="s">
        <v>35</v>
      </c>
      <c r="B43" s="3">
        <v>1.7465000000000001E-2</v>
      </c>
      <c r="C43" s="3">
        <v>6.6779999999999997E-4</v>
      </c>
      <c r="D43" s="1" t="s">
        <v>1</v>
      </c>
      <c r="E43" s="1">
        <f t="shared" ref="E43:E46" si="1">(B43-C43)/C43</f>
        <v>25.153039832285121</v>
      </c>
      <c r="F43" s="3">
        <v>13</v>
      </c>
    </row>
    <row r="44" spans="1:17" ht="14.25" x14ac:dyDescent="0.15">
      <c r="A44" s="3" t="s">
        <v>36</v>
      </c>
      <c r="B44" s="3">
        <v>1.6701000000000001E-2</v>
      </c>
      <c r="C44" s="3">
        <v>6.6410000000000004E-4</v>
      </c>
      <c r="D44" s="1" t="s">
        <v>1</v>
      </c>
      <c r="E44" s="1">
        <f t="shared" si="1"/>
        <v>24.148321035988555</v>
      </c>
      <c r="F44" s="3">
        <v>12</v>
      </c>
    </row>
    <row r="45" spans="1:17" ht="14.25" x14ac:dyDescent="0.15">
      <c r="A45" s="3" t="s">
        <v>37</v>
      </c>
      <c r="B45" s="3">
        <v>1.9023000000000002E-2</v>
      </c>
      <c r="C45" s="3">
        <v>4.551E-4</v>
      </c>
      <c r="D45" s="1" t="s">
        <v>1</v>
      </c>
      <c r="E45" s="1">
        <f t="shared" si="1"/>
        <v>40.799604482531315</v>
      </c>
      <c r="F45" s="3">
        <v>14</v>
      </c>
    </row>
    <row r="46" spans="1:17" ht="14.25" x14ac:dyDescent="0.15">
      <c r="A46" s="3" t="s">
        <v>38</v>
      </c>
      <c r="B46" s="3">
        <v>1.9005000000000001E-2</v>
      </c>
      <c r="C46" s="3">
        <v>6.3020000000000003E-4</v>
      </c>
      <c r="D46" s="1" t="s">
        <v>1</v>
      </c>
      <c r="E46" s="1">
        <f t="shared" si="1"/>
        <v>29.157092986353536</v>
      </c>
      <c r="F46" s="3">
        <v>21</v>
      </c>
    </row>
    <row r="47" spans="1:17" ht="14.25" x14ac:dyDescent="0.15">
      <c r="E47" s="1"/>
    </row>
    <row r="48" spans="1:17" x14ac:dyDescent="0.15">
      <c r="B48" s="43" t="s">
        <v>61</v>
      </c>
      <c r="C48" s="43"/>
      <c r="D48" s="43"/>
      <c r="E48" s="43"/>
      <c r="F48" s="43"/>
    </row>
    <row r="49" spans="1:10" ht="14.25" x14ac:dyDescent="0.15">
      <c r="A49" s="3" t="s">
        <v>62</v>
      </c>
      <c r="B49" s="3">
        <v>6.5280000000000005E-2</v>
      </c>
      <c r="C49" s="3">
        <v>6.3099999999999996E-3</v>
      </c>
      <c r="D49" s="1" t="s">
        <v>1</v>
      </c>
      <c r="E49" s="1">
        <f t="shared" ref="E49:E112" si="2">(B49-C49)/C49</f>
        <v>9.3454833597464368</v>
      </c>
      <c r="F49" s="3">
        <v>11</v>
      </c>
    </row>
    <row r="50" spans="1:10" ht="14.25" x14ac:dyDescent="0.15">
      <c r="A50" s="3" t="s">
        <v>63</v>
      </c>
      <c r="B50" s="3">
        <v>7.0279999999999995E-2</v>
      </c>
      <c r="C50" s="3">
        <v>1.0963000000000001E-2</v>
      </c>
      <c r="D50" s="1" t="s">
        <v>1</v>
      </c>
      <c r="E50" s="1">
        <f t="shared" si="2"/>
        <v>5.4106540180607494</v>
      </c>
      <c r="F50" s="3">
        <v>24</v>
      </c>
    </row>
    <row r="51" spans="1:10" ht="14.25" x14ac:dyDescent="0.15">
      <c r="A51" s="3" t="s">
        <v>64</v>
      </c>
      <c r="B51" s="3">
        <v>6.2019999999999999E-2</v>
      </c>
      <c r="C51" s="3">
        <v>1.1906999999999999E-2</v>
      </c>
      <c r="D51" s="1" t="s">
        <v>1</v>
      </c>
      <c r="E51" s="1">
        <f t="shared" si="2"/>
        <v>4.2087007642563199</v>
      </c>
      <c r="F51" s="3">
        <v>26</v>
      </c>
    </row>
    <row r="52" spans="1:10" ht="14.25" x14ac:dyDescent="0.15">
      <c r="A52" s="3" t="s">
        <v>65</v>
      </c>
      <c r="B52" s="3">
        <v>7.2300000000000003E-2</v>
      </c>
      <c r="C52" s="3">
        <v>1.0459E-2</v>
      </c>
      <c r="D52" s="1" t="s">
        <v>1</v>
      </c>
      <c r="E52" s="1">
        <f t="shared" si="2"/>
        <v>5.9127067597284642</v>
      </c>
      <c r="F52" s="3">
        <v>25</v>
      </c>
    </row>
    <row r="53" spans="1:10" ht="14.25" x14ac:dyDescent="0.15">
      <c r="A53" s="3" t="s">
        <v>66</v>
      </c>
      <c r="B53" s="3">
        <v>6.2549999999999994E-2</v>
      </c>
      <c r="C53" s="3">
        <v>1.1624000000000001E-2</v>
      </c>
      <c r="D53" s="1" t="s">
        <v>1</v>
      </c>
      <c r="E53" s="1">
        <f t="shared" si="2"/>
        <v>4.3811080523055734</v>
      </c>
      <c r="F53" s="3">
        <v>29</v>
      </c>
    </row>
    <row r="54" spans="1:10" ht="14.25" x14ac:dyDescent="0.15">
      <c r="A54" s="3" t="s">
        <v>67</v>
      </c>
      <c r="B54" s="3">
        <v>0.31781999999999999</v>
      </c>
      <c r="C54" s="3">
        <v>8.4714999999999999E-2</v>
      </c>
      <c r="D54" s="1" t="s">
        <v>1</v>
      </c>
      <c r="E54" s="1">
        <f t="shared" si="2"/>
        <v>2.7516378445375671</v>
      </c>
      <c r="F54" s="3">
        <v>230</v>
      </c>
    </row>
    <row r="55" spans="1:10" ht="14.25" x14ac:dyDescent="0.15">
      <c r="A55" s="3" t="s">
        <v>68</v>
      </c>
      <c r="B55" s="3">
        <v>0.32734000000000002</v>
      </c>
      <c r="C55" s="3">
        <v>9.9693000000000004E-2</v>
      </c>
      <c r="D55" s="1" t="s">
        <v>1</v>
      </c>
      <c r="E55" s="1">
        <f t="shared" si="2"/>
        <v>2.2834802844733333</v>
      </c>
      <c r="F55" s="3">
        <v>266</v>
      </c>
    </row>
    <row r="56" spans="1:10" ht="14.25" x14ac:dyDescent="0.15">
      <c r="A56" s="3" t="s">
        <v>69</v>
      </c>
      <c r="B56" s="3">
        <v>9.0550000000000005E-2</v>
      </c>
      <c r="C56" s="3">
        <v>6.7359999999999998E-3</v>
      </c>
      <c r="D56" s="1" t="s">
        <v>1</v>
      </c>
      <c r="E56" s="1">
        <f t="shared" si="2"/>
        <v>12.44269596199525</v>
      </c>
      <c r="F56" s="3">
        <v>11</v>
      </c>
    </row>
    <row r="57" spans="1:10" ht="14.25" x14ac:dyDescent="0.15">
      <c r="A57" s="3" t="s">
        <v>70</v>
      </c>
      <c r="B57" s="3">
        <v>0.18139</v>
      </c>
      <c r="C57" s="3">
        <v>0.123581</v>
      </c>
      <c r="D57" s="1" t="s">
        <v>1</v>
      </c>
      <c r="E57" s="1">
        <f t="shared" si="2"/>
        <v>0.46778226426392405</v>
      </c>
      <c r="F57" s="3">
        <v>384</v>
      </c>
    </row>
    <row r="58" spans="1:10" ht="14.25" x14ac:dyDescent="0.15">
      <c r="A58" s="3" t="s">
        <v>71</v>
      </c>
      <c r="B58" s="3">
        <v>0.57342000000000004</v>
      </c>
      <c r="C58" s="3">
        <v>7.8341999999999995E-2</v>
      </c>
      <c r="D58" s="1" t="s">
        <v>1</v>
      </c>
      <c r="E58" s="1">
        <f t="shared" si="2"/>
        <v>6.3194455081565453</v>
      </c>
      <c r="F58" s="3">
        <v>210</v>
      </c>
    </row>
    <row r="59" spans="1:10" ht="14.25" x14ac:dyDescent="0.15">
      <c r="A59" s="3" t="s">
        <v>72</v>
      </c>
      <c r="B59" s="4">
        <v>0.21073</v>
      </c>
      <c r="C59" s="10">
        <v>0.121839</v>
      </c>
      <c r="D59" s="4" t="s">
        <v>145</v>
      </c>
      <c r="E59" s="26">
        <f t="shared" si="2"/>
        <v>0.72957755726819817</v>
      </c>
      <c r="F59" s="3">
        <v>405</v>
      </c>
      <c r="G59" s="42" t="s">
        <v>144</v>
      </c>
      <c r="H59" s="43"/>
      <c r="I59" s="43"/>
      <c r="J59" s="43"/>
    </row>
    <row r="60" spans="1:10" ht="14.25" x14ac:dyDescent="0.15">
      <c r="A60" s="3" t="s">
        <v>73</v>
      </c>
      <c r="B60" s="3">
        <v>0.29526999999999998</v>
      </c>
      <c r="C60" s="3">
        <v>0.10140200000000001</v>
      </c>
      <c r="D60" s="1" t="s">
        <v>1</v>
      </c>
      <c r="E60" s="1">
        <f t="shared" si="2"/>
        <v>1.9118755054140941</v>
      </c>
      <c r="F60" s="3">
        <v>303</v>
      </c>
    </row>
    <row r="61" spans="1:10" ht="14.25" x14ac:dyDescent="0.15">
      <c r="A61" s="3" t="s">
        <v>74</v>
      </c>
      <c r="B61" s="3">
        <v>8.3150000000000002E-2</v>
      </c>
      <c r="C61" s="3">
        <v>2.4641E-2</v>
      </c>
      <c r="D61" s="1" t="s">
        <v>1</v>
      </c>
      <c r="E61" s="1">
        <f t="shared" si="2"/>
        <v>2.3744572054705575</v>
      </c>
      <c r="F61" s="3">
        <v>51</v>
      </c>
    </row>
    <row r="62" spans="1:10" ht="14.25" x14ac:dyDescent="0.15">
      <c r="A62" s="3" t="s">
        <v>75</v>
      </c>
      <c r="B62" s="3">
        <v>0.20452999999999999</v>
      </c>
      <c r="C62" s="3">
        <v>5.8352000000000001E-2</v>
      </c>
      <c r="D62" s="1" t="s">
        <v>1</v>
      </c>
      <c r="E62" s="1">
        <f t="shared" si="2"/>
        <v>2.5051069372086641</v>
      </c>
      <c r="F62" s="3">
        <v>151</v>
      </c>
    </row>
    <row r="63" spans="1:10" ht="14.25" x14ac:dyDescent="0.15">
      <c r="A63" s="3" t="s">
        <v>76</v>
      </c>
      <c r="B63" s="3">
        <v>0.56989000000000001</v>
      </c>
      <c r="C63" s="3">
        <v>4.6821000000000002E-2</v>
      </c>
      <c r="D63" s="1" t="s">
        <v>1</v>
      </c>
      <c r="E63" s="1">
        <f t="shared" si="2"/>
        <v>11.171675103052049</v>
      </c>
      <c r="F63" s="3">
        <v>135</v>
      </c>
    </row>
    <row r="64" spans="1:10" ht="14.25" x14ac:dyDescent="0.15">
      <c r="A64" s="3" t="s">
        <v>77</v>
      </c>
      <c r="B64" s="27">
        <v>9.0200000000000002E-2</v>
      </c>
      <c r="C64" s="3">
        <v>6.4679999999999998E-3</v>
      </c>
      <c r="D64" s="1" t="s">
        <v>1</v>
      </c>
      <c r="E64" s="1">
        <f t="shared" si="2"/>
        <v>12.945578231292517</v>
      </c>
      <c r="F64" s="3">
        <v>12</v>
      </c>
    </row>
    <row r="65" spans="1:6" ht="14.25" x14ac:dyDescent="0.15">
      <c r="A65" s="3" t="s">
        <v>36</v>
      </c>
      <c r="B65" s="3">
        <v>0.10553999999999999</v>
      </c>
      <c r="C65" s="3">
        <v>6.2880000000000005E-2</v>
      </c>
      <c r="D65" s="1" t="s">
        <v>1</v>
      </c>
      <c r="E65" s="1">
        <f t="shared" si="2"/>
        <v>0.67843511450381655</v>
      </c>
      <c r="F65" s="3">
        <v>15</v>
      </c>
    </row>
    <row r="66" spans="1:6" ht="14.25" x14ac:dyDescent="0.15">
      <c r="A66" s="3" t="s">
        <v>78</v>
      </c>
      <c r="B66" s="3">
        <v>6.0970000000000003E-2</v>
      </c>
      <c r="C66" s="3">
        <v>6.803E-3</v>
      </c>
      <c r="D66" s="1" t="s">
        <v>1</v>
      </c>
      <c r="E66" s="1">
        <f t="shared" si="2"/>
        <v>7.9622225488754967</v>
      </c>
      <c r="F66" s="3">
        <v>10</v>
      </c>
    </row>
    <row r="67" spans="1:6" ht="14.25" x14ac:dyDescent="0.15">
      <c r="A67" s="3" t="s">
        <v>79</v>
      </c>
      <c r="B67" s="3">
        <v>6.4729999999999996E-2</v>
      </c>
      <c r="C67" s="3">
        <v>6.4359999999999999E-3</v>
      </c>
      <c r="D67" s="1" t="s">
        <v>1</v>
      </c>
      <c r="E67" s="1">
        <f t="shared" si="2"/>
        <v>9.0574891236793036</v>
      </c>
      <c r="F67" s="3">
        <v>10</v>
      </c>
    </row>
    <row r="68" spans="1:6" ht="14.25" x14ac:dyDescent="0.15">
      <c r="A68" s="3" t="s">
        <v>80</v>
      </c>
      <c r="B68" s="3">
        <v>6.3130000000000006E-2</v>
      </c>
      <c r="C68" s="3">
        <v>5.496E-3</v>
      </c>
      <c r="D68" s="1" t="s">
        <v>1</v>
      </c>
      <c r="E68" s="1">
        <f t="shared" si="2"/>
        <v>10.486535662299856</v>
      </c>
      <c r="F68" s="3">
        <v>11</v>
      </c>
    </row>
    <row r="69" spans="1:6" ht="14.25" x14ac:dyDescent="0.15">
      <c r="A69" s="3" t="s">
        <v>81</v>
      </c>
      <c r="B69" s="3">
        <v>6.479E-2</v>
      </c>
      <c r="C69" s="3">
        <v>6.3550000000000004E-3</v>
      </c>
      <c r="D69" s="1" t="s">
        <v>1</v>
      </c>
      <c r="E69" s="1">
        <f t="shared" si="2"/>
        <v>9.1951219512195124</v>
      </c>
      <c r="F69" s="3">
        <v>10</v>
      </c>
    </row>
    <row r="70" spans="1:6" ht="14.25" x14ac:dyDescent="0.15">
      <c r="A70" s="3" t="s">
        <v>82</v>
      </c>
      <c r="B70" s="3">
        <v>8.0619999999999997E-2</v>
      </c>
      <c r="C70" s="3">
        <v>1.111E-2</v>
      </c>
      <c r="D70" s="1" t="s">
        <v>1</v>
      </c>
      <c r="E70" s="1">
        <f t="shared" si="2"/>
        <v>6.2565256525652568</v>
      </c>
      <c r="F70" s="3">
        <v>13</v>
      </c>
    </row>
    <row r="71" spans="1:6" ht="14.25" x14ac:dyDescent="0.15">
      <c r="A71" s="3" t="s">
        <v>83</v>
      </c>
      <c r="B71" s="3">
        <v>0.11323999999999999</v>
      </c>
      <c r="C71" s="3">
        <v>1.8370000000000001E-2</v>
      </c>
      <c r="D71" s="1" t="s">
        <v>1</v>
      </c>
      <c r="E71" s="1">
        <f t="shared" si="2"/>
        <v>5.1643984757757204</v>
      </c>
      <c r="F71" s="3">
        <v>28</v>
      </c>
    </row>
    <row r="72" spans="1:6" ht="14.25" x14ac:dyDescent="0.15">
      <c r="A72" s="3" t="s">
        <v>84</v>
      </c>
      <c r="B72" s="3">
        <v>5.9619999999999999E-2</v>
      </c>
      <c r="C72" s="3">
        <v>7.0089999999999996E-3</v>
      </c>
      <c r="D72" s="1" t="s">
        <v>1</v>
      </c>
      <c r="E72" s="1">
        <f t="shared" si="2"/>
        <v>7.5062063061777717</v>
      </c>
      <c r="F72" s="3">
        <v>16</v>
      </c>
    </row>
    <row r="73" spans="1:6" ht="14.25" x14ac:dyDescent="0.15">
      <c r="A73" s="3" t="s">
        <v>85</v>
      </c>
      <c r="B73" s="3">
        <v>6.6170000000000007E-2</v>
      </c>
      <c r="C73" s="3">
        <v>7.4749999999999999E-3</v>
      </c>
      <c r="D73" s="1" t="s">
        <v>1</v>
      </c>
      <c r="E73" s="1">
        <f t="shared" si="2"/>
        <v>7.8521739130434787</v>
      </c>
      <c r="F73" s="3">
        <v>14</v>
      </c>
    </row>
    <row r="74" spans="1:6" ht="14.25" x14ac:dyDescent="0.15">
      <c r="A74" s="3" t="s">
        <v>86</v>
      </c>
      <c r="B74" s="3">
        <v>0.10517</v>
      </c>
      <c r="C74" s="3">
        <v>1.1226E-2</v>
      </c>
      <c r="D74" s="1" t="s">
        <v>1</v>
      </c>
      <c r="E74" s="1">
        <f t="shared" si="2"/>
        <v>8.3684304293604139</v>
      </c>
      <c r="F74" s="3">
        <v>32</v>
      </c>
    </row>
    <row r="75" spans="1:6" ht="14.25" x14ac:dyDescent="0.15">
      <c r="A75" s="3" t="s">
        <v>87</v>
      </c>
      <c r="B75" s="3">
        <v>0.12675</v>
      </c>
      <c r="C75" s="3">
        <v>2.6963000000000001E-2</v>
      </c>
      <c r="D75" s="1" t="s">
        <v>1</v>
      </c>
      <c r="E75" s="1">
        <f t="shared" si="2"/>
        <v>3.7008863998813188</v>
      </c>
      <c r="F75" s="3">
        <v>59</v>
      </c>
    </row>
    <row r="76" spans="1:6" ht="14.25" x14ac:dyDescent="0.15">
      <c r="A76" s="3" t="s">
        <v>88</v>
      </c>
      <c r="B76" s="3">
        <v>9.103E-2</v>
      </c>
      <c r="C76" s="3">
        <v>1.6122000000000001E-2</v>
      </c>
      <c r="D76" s="1" t="s">
        <v>1</v>
      </c>
      <c r="E76" s="1">
        <f t="shared" si="2"/>
        <v>4.6463217963031882</v>
      </c>
      <c r="F76" s="3">
        <v>53</v>
      </c>
    </row>
    <row r="77" spans="1:6" ht="14.25" x14ac:dyDescent="0.15">
      <c r="A77" s="3" t="s">
        <v>89</v>
      </c>
      <c r="B77" s="3">
        <v>9.0880000000000002E-2</v>
      </c>
      <c r="C77" s="3">
        <v>1.2924E-2</v>
      </c>
      <c r="D77" s="1" t="s">
        <v>1</v>
      </c>
      <c r="E77" s="1">
        <f t="shared" si="2"/>
        <v>6.031878675332714</v>
      </c>
      <c r="F77" s="3">
        <v>17</v>
      </c>
    </row>
    <row r="78" spans="1:6" ht="14.25" x14ac:dyDescent="0.15">
      <c r="A78" s="3" t="s">
        <v>90</v>
      </c>
      <c r="B78" s="3">
        <v>6.9620000000000001E-2</v>
      </c>
      <c r="C78" s="3">
        <v>7.5579999999999996E-3</v>
      </c>
      <c r="D78" s="1" t="s">
        <v>1</v>
      </c>
      <c r="E78" s="1">
        <f t="shared" si="2"/>
        <v>8.211431595660228</v>
      </c>
      <c r="F78" s="3">
        <v>15</v>
      </c>
    </row>
    <row r="79" spans="1:6" ht="14.25" x14ac:dyDescent="0.15">
      <c r="A79" s="3" t="s">
        <v>91</v>
      </c>
      <c r="B79" s="27">
        <v>8.2799999999999999E-2</v>
      </c>
      <c r="C79" s="3">
        <v>1.0324E-2</v>
      </c>
      <c r="D79" s="1" t="s">
        <v>1</v>
      </c>
      <c r="E79" s="1">
        <f t="shared" si="2"/>
        <v>7.0201472297559082</v>
      </c>
      <c r="F79" s="3">
        <v>24</v>
      </c>
    </row>
    <row r="80" spans="1:6" ht="14.25" x14ac:dyDescent="0.15">
      <c r="A80" s="3" t="s">
        <v>92</v>
      </c>
      <c r="B80" s="3">
        <v>7.195E-2</v>
      </c>
      <c r="C80" s="3">
        <v>1.0165E-2</v>
      </c>
      <c r="D80" s="1" t="s">
        <v>1</v>
      </c>
      <c r="E80" s="1">
        <f t="shared" si="2"/>
        <v>6.0782095425479588</v>
      </c>
      <c r="F80" s="3">
        <v>21</v>
      </c>
    </row>
    <row r="81" spans="1:6" ht="14.25" x14ac:dyDescent="0.15">
      <c r="A81" s="3" t="s">
        <v>93</v>
      </c>
      <c r="B81" s="27">
        <v>0.17979999999999999</v>
      </c>
      <c r="C81" s="3">
        <v>1.9755000000000002E-2</v>
      </c>
      <c r="D81" s="1" t="s">
        <v>1</v>
      </c>
      <c r="E81" s="1">
        <f t="shared" si="2"/>
        <v>8.1014932928372545</v>
      </c>
      <c r="F81" s="3">
        <v>102</v>
      </c>
    </row>
    <row r="82" spans="1:6" ht="14.25" x14ac:dyDescent="0.15">
      <c r="A82" s="3" t="s">
        <v>94</v>
      </c>
      <c r="B82" s="3">
        <v>9.6689999999999998E-2</v>
      </c>
      <c r="C82" s="3">
        <v>2.1141E-2</v>
      </c>
      <c r="D82" s="1" t="s">
        <v>1</v>
      </c>
      <c r="E82" s="1">
        <f t="shared" si="2"/>
        <v>3.5735774088264511</v>
      </c>
      <c r="F82" s="3">
        <v>32</v>
      </c>
    </row>
    <row r="83" spans="1:6" ht="14.25" x14ac:dyDescent="0.15">
      <c r="A83" s="3" t="s">
        <v>95</v>
      </c>
      <c r="B83" s="3">
        <v>0.58559000000000005</v>
      </c>
      <c r="C83" s="3">
        <v>0.17566799999999999</v>
      </c>
      <c r="D83" s="1" t="s">
        <v>1</v>
      </c>
      <c r="E83" s="1">
        <f t="shared" si="2"/>
        <v>2.3335041100257308</v>
      </c>
      <c r="F83" s="3">
        <v>521</v>
      </c>
    </row>
    <row r="84" spans="1:6" ht="14.25" x14ac:dyDescent="0.15">
      <c r="A84" s="3" t="s">
        <v>96</v>
      </c>
      <c r="B84" s="3">
        <v>8.9120000000000005E-2</v>
      </c>
      <c r="C84" s="3">
        <v>2.6322000000000002E-2</v>
      </c>
      <c r="D84" s="1" t="s">
        <v>1</v>
      </c>
      <c r="E84" s="1">
        <f t="shared" si="2"/>
        <v>2.3857609604133425</v>
      </c>
      <c r="F84" s="3">
        <v>65</v>
      </c>
    </row>
    <row r="85" spans="1:6" ht="14.25" x14ac:dyDescent="0.15">
      <c r="A85" s="3" t="s">
        <v>97</v>
      </c>
      <c r="B85" s="3">
        <v>7.6170000000000002E-2</v>
      </c>
      <c r="C85" s="3">
        <v>1.0515E-2</v>
      </c>
      <c r="D85" s="1" t="s">
        <v>1</v>
      </c>
      <c r="E85" s="1">
        <f t="shared" si="2"/>
        <v>6.2439372325249645</v>
      </c>
      <c r="F85" s="3">
        <v>20</v>
      </c>
    </row>
    <row r="86" spans="1:6" ht="14.25" x14ac:dyDescent="0.15">
      <c r="A86" s="3" t="s">
        <v>98</v>
      </c>
      <c r="B86" s="3">
        <v>7.399E-2</v>
      </c>
      <c r="C86" s="3">
        <v>1.1115999999999999E-2</v>
      </c>
      <c r="D86" s="1" t="s">
        <v>1</v>
      </c>
      <c r="E86" s="1">
        <f t="shared" si="2"/>
        <v>5.6561712846347607</v>
      </c>
      <c r="F86" s="3">
        <v>15</v>
      </c>
    </row>
    <row r="87" spans="1:6" ht="14.25" x14ac:dyDescent="0.15">
      <c r="A87" s="3" t="s">
        <v>99</v>
      </c>
      <c r="B87" s="3">
        <v>0.68549000000000004</v>
      </c>
      <c r="C87" s="3">
        <v>7.2801000000000005E-2</v>
      </c>
      <c r="D87" s="1" t="s">
        <v>1</v>
      </c>
      <c r="E87" s="1">
        <f t="shared" si="2"/>
        <v>8.4159420887075722</v>
      </c>
      <c r="F87" s="3">
        <v>159</v>
      </c>
    </row>
    <row r="88" spans="1:6" ht="14.25" x14ac:dyDescent="0.15">
      <c r="A88" s="3" t="s">
        <v>100</v>
      </c>
      <c r="B88" s="3">
        <v>8.2909999999999998E-2</v>
      </c>
      <c r="C88" s="3">
        <v>1.6057999999999999E-2</v>
      </c>
      <c r="D88" s="1" t="s">
        <v>1</v>
      </c>
      <c r="E88" s="1">
        <f t="shared" si="2"/>
        <v>4.1631585502553241</v>
      </c>
      <c r="F88" s="3">
        <v>31</v>
      </c>
    </row>
    <row r="89" spans="1:6" ht="14.25" x14ac:dyDescent="0.15">
      <c r="A89" s="3" t="s">
        <v>101</v>
      </c>
      <c r="B89" s="3">
        <v>0.10613</v>
      </c>
      <c r="C89" s="3">
        <v>6.0435999999999997E-2</v>
      </c>
      <c r="D89" s="1" t="s">
        <v>1</v>
      </c>
      <c r="E89" s="1">
        <f t="shared" si="2"/>
        <v>0.75607253954596609</v>
      </c>
      <c r="F89" s="3">
        <v>60</v>
      </c>
    </row>
    <row r="90" spans="1:6" ht="14.25" x14ac:dyDescent="0.15">
      <c r="A90" s="3" t="s">
        <v>102</v>
      </c>
      <c r="B90" s="3">
        <v>7.1309999999999998E-2</v>
      </c>
      <c r="C90" s="3">
        <v>6.2389999999999998E-3</v>
      </c>
      <c r="D90" s="1" t="s">
        <v>1</v>
      </c>
      <c r="E90" s="1">
        <f t="shared" si="2"/>
        <v>10.429716300689215</v>
      </c>
      <c r="F90" s="3">
        <v>19</v>
      </c>
    </row>
    <row r="91" spans="1:6" ht="14.25" x14ac:dyDescent="0.15">
      <c r="A91" s="3" t="s">
        <v>103</v>
      </c>
      <c r="B91" s="3">
        <v>0.10255</v>
      </c>
      <c r="C91" s="3">
        <v>3.0099999999999998E-2</v>
      </c>
      <c r="D91" s="1" t="s">
        <v>1</v>
      </c>
      <c r="E91" s="1">
        <f t="shared" si="2"/>
        <v>2.4069767441860468</v>
      </c>
      <c r="F91" s="3">
        <v>50</v>
      </c>
    </row>
    <row r="92" spans="1:6" ht="14.25" x14ac:dyDescent="0.15">
      <c r="A92" s="3" t="s">
        <v>104</v>
      </c>
      <c r="B92" s="3">
        <v>0.13111</v>
      </c>
      <c r="C92" s="3">
        <v>2.9593999999999999E-2</v>
      </c>
      <c r="D92" s="1" t="s">
        <v>1</v>
      </c>
      <c r="E92" s="1">
        <f t="shared" si="2"/>
        <v>3.4302899236331692</v>
      </c>
      <c r="F92" s="3">
        <v>42</v>
      </c>
    </row>
    <row r="93" spans="1:6" ht="14.25" x14ac:dyDescent="0.15">
      <c r="A93" s="3" t="s">
        <v>105</v>
      </c>
      <c r="B93" s="3">
        <v>0.30608000000000002</v>
      </c>
      <c r="C93" s="3">
        <v>0.101156</v>
      </c>
      <c r="D93" s="1" t="s">
        <v>1</v>
      </c>
      <c r="E93" s="1">
        <f t="shared" si="2"/>
        <v>2.0258215034204596</v>
      </c>
      <c r="F93" s="3">
        <v>309</v>
      </c>
    </row>
    <row r="94" spans="1:6" ht="14.25" x14ac:dyDescent="0.15">
      <c r="A94" s="3" t="s">
        <v>106</v>
      </c>
      <c r="B94" s="3">
        <v>9.2770000000000005E-2</v>
      </c>
      <c r="C94" s="3">
        <v>1.1398999999999999E-2</v>
      </c>
      <c r="D94" s="1" t="s">
        <v>1</v>
      </c>
      <c r="E94" s="1">
        <f t="shared" si="2"/>
        <v>7.1384331958943772</v>
      </c>
      <c r="F94" s="3">
        <v>17</v>
      </c>
    </row>
    <row r="95" spans="1:6" ht="14.25" x14ac:dyDescent="0.15">
      <c r="A95" s="3" t="s">
        <v>107</v>
      </c>
      <c r="B95" s="3">
        <v>7.8460000000000002E-2</v>
      </c>
      <c r="C95" s="3">
        <v>1.3301E-2</v>
      </c>
      <c r="D95" s="1" t="s">
        <v>1</v>
      </c>
      <c r="E95" s="1">
        <f t="shared" si="2"/>
        <v>4.8988046011578072</v>
      </c>
      <c r="F95" s="3">
        <v>19</v>
      </c>
    </row>
    <row r="96" spans="1:6" ht="14.25" x14ac:dyDescent="0.15">
      <c r="A96" s="3" t="s">
        <v>108</v>
      </c>
      <c r="B96" s="3">
        <v>6.4689999999999998E-2</v>
      </c>
      <c r="C96" s="3">
        <v>7.7470000000000004E-3</v>
      </c>
      <c r="D96" s="1" t="s">
        <v>1</v>
      </c>
      <c r="E96" s="1">
        <f t="shared" si="2"/>
        <v>7.350329159674712</v>
      </c>
      <c r="F96" s="3">
        <v>16</v>
      </c>
    </row>
    <row r="97" spans="1:6" ht="14.25" x14ac:dyDescent="0.15">
      <c r="A97" s="3" t="s">
        <v>109</v>
      </c>
      <c r="B97" s="3">
        <v>6.7049999999999998E-2</v>
      </c>
      <c r="C97" s="3">
        <v>6.6829999999999997E-3</v>
      </c>
      <c r="D97" s="1" t="s">
        <v>1</v>
      </c>
      <c r="E97" s="1">
        <f t="shared" si="2"/>
        <v>9.0329193475983836</v>
      </c>
      <c r="F97" s="3">
        <v>11</v>
      </c>
    </row>
    <row r="98" spans="1:6" ht="14.25" x14ac:dyDescent="0.15">
      <c r="A98" s="3" t="s">
        <v>110</v>
      </c>
      <c r="B98" s="3">
        <v>6.9879999999999998E-2</v>
      </c>
      <c r="C98" s="3">
        <v>1.6306999999999999E-2</v>
      </c>
      <c r="D98" s="1" t="s">
        <v>1</v>
      </c>
      <c r="E98" s="1">
        <f t="shared" si="2"/>
        <v>3.2852762617280922</v>
      </c>
      <c r="F98" s="3">
        <v>23</v>
      </c>
    </row>
    <row r="99" spans="1:6" ht="14.25" x14ac:dyDescent="0.15">
      <c r="A99" s="3" t="s">
        <v>111</v>
      </c>
      <c r="B99" s="3">
        <v>0.54235</v>
      </c>
      <c r="C99" s="3">
        <v>2.3605999999999999E-2</v>
      </c>
      <c r="D99" s="1" t="s">
        <v>1</v>
      </c>
      <c r="E99" s="1">
        <f t="shared" si="2"/>
        <v>21.975091078539354</v>
      </c>
      <c r="F99" s="3">
        <v>49</v>
      </c>
    </row>
    <row r="100" spans="1:6" ht="14.25" x14ac:dyDescent="0.15">
      <c r="A100" s="3" t="s">
        <v>112</v>
      </c>
      <c r="B100" s="3">
        <v>9.4960000000000003E-2</v>
      </c>
      <c r="C100" s="3">
        <v>1.7753000000000001E-2</v>
      </c>
      <c r="D100" s="1" t="s">
        <v>1</v>
      </c>
      <c r="E100" s="1">
        <f t="shared" si="2"/>
        <v>4.3489551061792371</v>
      </c>
      <c r="F100" s="3">
        <v>27</v>
      </c>
    </row>
    <row r="101" spans="1:6" ht="14.25" x14ac:dyDescent="0.15">
      <c r="A101" s="3" t="s">
        <v>113</v>
      </c>
      <c r="B101" s="27">
        <v>7.3700000000000002E-2</v>
      </c>
      <c r="C101" s="3">
        <v>5.1720000000000004E-3</v>
      </c>
      <c r="D101" s="1" t="s">
        <v>1</v>
      </c>
      <c r="E101" s="1">
        <f t="shared" si="2"/>
        <v>13.249806651198762</v>
      </c>
      <c r="F101" s="3">
        <v>11</v>
      </c>
    </row>
    <row r="102" spans="1:6" ht="14.25" x14ac:dyDescent="0.15">
      <c r="A102" s="3" t="s">
        <v>114</v>
      </c>
      <c r="B102" s="3">
        <v>7.5069999999999998E-2</v>
      </c>
      <c r="C102" s="3">
        <v>5.4339999999999996E-3</v>
      </c>
      <c r="D102" s="1" t="s">
        <v>1</v>
      </c>
      <c r="E102" s="1">
        <f t="shared" si="2"/>
        <v>12.814869341185132</v>
      </c>
      <c r="F102" s="3">
        <v>17</v>
      </c>
    </row>
    <row r="103" spans="1:6" ht="14.25" x14ac:dyDescent="0.15">
      <c r="A103" s="3" t="s">
        <v>115</v>
      </c>
      <c r="B103" s="3">
        <v>8.9529999999999998E-2</v>
      </c>
      <c r="C103" s="3">
        <v>1.0708000000000001E-2</v>
      </c>
      <c r="D103" s="1" t="s">
        <v>1</v>
      </c>
      <c r="E103" s="1">
        <f t="shared" si="2"/>
        <v>7.3610384759058647</v>
      </c>
      <c r="F103" s="3">
        <v>24</v>
      </c>
    </row>
    <row r="104" spans="1:6" ht="14.25" x14ac:dyDescent="0.15">
      <c r="A104" s="3" t="s">
        <v>116</v>
      </c>
      <c r="B104" s="27">
        <v>7.4300000000000005E-2</v>
      </c>
      <c r="C104" s="3">
        <v>1.2237E-2</v>
      </c>
      <c r="D104" s="1" t="s">
        <v>1</v>
      </c>
      <c r="E104" s="1">
        <f t="shared" si="2"/>
        <v>5.0717496118329661</v>
      </c>
      <c r="F104" s="3">
        <v>28</v>
      </c>
    </row>
    <row r="105" spans="1:6" ht="14.25" x14ac:dyDescent="0.15">
      <c r="A105" s="3" t="s">
        <v>117</v>
      </c>
      <c r="B105" s="3">
        <v>6.9430000000000006E-2</v>
      </c>
      <c r="C105" s="3">
        <v>1.1270000000000001E-2</v>
      </c>
      <c r="D105" s="1" t="s">
        <v>1</v>
      </c>
      <c r="E105" s="1">
        <f t="shared" si="2"/>
        <v>5.1606033717834965</v>
      </c>
      <c r="F105" s="3">
        <v>39</v>
      </c>
    </row>
    <row r="106" spans="1:6" ht="14.25" x14ac:dyDescent="0.15">
      <c r="A106" s="3" t="s">
        <v>118</v>
      </c>
      <c r="B106" s="3">
        <v>0.10178</v>
      </c>
      <c r="C106" s="3">
        <v>2.5864000000000002E-2</v>
      </c>
      <c r="D106" s="1" t="s">
        <v>1</v>
      </c>
      <c r="E106" s="1">
        <f t="shared" si="2"/>
        <v>2.9351995051036188</v>
      </c>
      <c r="F106" s="3">
        <v>38</v>
      </c>
    </row>
    <row r="107" spans="1:6" ht="14.25" x14ac:dyDescent="0.15">
      <c r="A107" s="3" t="s">
        <v>119</v>
      </c>
      <c r="B107" s="3">
        <v>0.11607000000000001</v>
      </c>
      <c r="C107" s="3">
        <v>4.0662999999999998E-2</v>
      </c>
      <c r="D107" s="1" t="s">
        <v>1</v>
      </c>
      <c r="E107" s="1">
        <f t="shared" si="2"/>
        <v>1.8544376952020265</v>
      </c>
      <c r="F107" s="3">
        <v>56</v>
      </c>
    </row>
    <row r="108" spans="1:6" ht="14.25" x14ac:dyDescent="0.15">
      <c r="A108" s="3" t="s">
        <v>38</v>
      </c>
      <c r="B108" s="3">
        <v>0.11476</v>
      </c>
      <c r="C108" s="3">
        <v>1.9154999999999998E-2</v>
      </c>
      <c r="D108" s="1" t="s">
        <v>1</v>
      </c>
      <c r="E108" s="1">
        <f t="shared" si="2"/>
        <v>4.991125032628557</v>
      </c>
      <c r="F108" s="3">
        <v>33</v>
      </c>
    </row>
    <row r="109" spans="1:6" ht="14.25" x14ac:dyDescent="0.15">
      <c r="A109" s="3" t="s">
        <v>120</v>
      </c>
      <c r="B109" s="27">
        <v>0.1022</v>
      </c>
      <c r="C109" s="3">
        <v>9.2339999999999992E-3</v>
      </c>
      <c r="D109" s="1" t="s">
        <v>1</v>
      </c>
      <c r="E109" s="1">
        <f t="shared" si="2"/>
        <v>10.067792939137968</v>
      </c>
      <c r="F109" s="3">
        <v>28</v>
      </c>
    </row>
    <row r="110" spans="1:6" ht="14.25" x14ac:dyDescent="0.15">
      <c r="A110" s="3" t="s">
        <v>121</v>
      </c>
      <c r="B110" s="3">
        <v>8.9700000000000002E-2</v>
      </c>
      <c r="C110" s="3">
        <v>1.2500000000000001E-2</v>
      </c>
      <c r="D110" s="1" t="s">
        <v>1</v>
      </c>
      <c r="E110" s="1">
        <f t="shared" si="2"/>
        <v>6.1760000000000002</v>
      </c>
      <c r="F110" s="3">
        <v>32</v>
      </c>
    </row>
    <row r="111" spans="1:6" ht="14.25" x14ac:dyDescent="0.15">
      <c r="A111" s="3" t="s">
        <v>122</v>
      </c>
      <c r="B111" s="3">
        <v>9.3149999999999997E-2</v>
      </c>
      <c r="C111" s="3">
        <v>1.5526E-2</v>
      </c>
      <c r="D111" s="1" t="s">
        <v>1</v>
      </c>
      <c r="E111" s="1">
        <f t="shared" si="2"/>
        <v>4.9996135514620637</v>
      </c>
      <c r="F111" s="3">
        <v>29</v>
      </c>
    </row>
    <row r="112" spans="1:6" ht="14.25" x14ac:dyDescent="0.15">
      <c r="A112" s="3" t="s">
        <v>123</v>
      </c>
      <c r="B112" s="3">
        <v>8.6620000000000003E-2</v>
      </c>
      <c r="C112" s="3">
        <v>8.8900000000000003E-3</v>
      </c>
      <c r="D112" s="1" t="s">
        <v>1</v>
      </c>
      <c r="E112" s="1">
        <f t="shared" si="2"/>
        <v>8.7435320584926881</v>
      </c>
      <c r="F112" s="3">
        <v>19</v>
      </c>
    </row>
    <row r="113" spans="1:9" ht="14.25" x14ac:dyDescent="0.15">
      <c r="A113" s="3" t="s">
        <v>124</v>
      </c>
      <c r="B113" s="3">
        <v>7.1300000000000002E-2</v>
      </c>
      <c r="C113" s="3">
        <v>2.8074000000000002E-2</v>
      </c>
      <c r="D113" s="1" t="s">
        <v>1</v>
      </c>
      <c r="E113" s="1">
        <f t="shared" ref="E113:E130" si="3">(B113-C113)/C113</f>
        <v>1.5397164636318301</v>
      </c>
      <c r="F113" s="3">
        <v>17</v>
      </c>
    </row>
    <row r="114" spans="1:9" ht="14.25" x14ac:dyDescent="0.15">
      <c r="A114" s="3" t="s">
        <v>125</v>
      </c>
      <c r="B114" s="3">
        <v>6.7900000000000002E-2</v>
      </c>
      <c r="C114" s="3">
        <v>7.2859999999999999E-3</v>
      </c>
      <c r="D114" s="1" t="s">
        <v>1</v>
      </c>
      <c r="E114" s="1">
        <f t="shared" si="3"/>
        <v>8.3192423826516606</v>
      </c>
      <c r="F114" s="3">
        <v>14</v>
      </c>
    </row>
    <row r="115" spans="1:9" ht="14.25" x14ac:dyDescent="0.15">
      <c r="A115" s="3" t="s">
        <v>126</v>
      </c>
      <c r="B115" s="3">
        <v>7.3209999999999997E-2</v>
      </c>
      <c r="C115" s="3">
        <v>1.2407E-2</v>
      </c>
      <c r="D115" s="1" t="s">
        <v>1</v>
      </c>
      <c r="E115" s="1">
        <f t="shared" si="3"/>
        <v>4.9007012170548885</v>
      </c>
      <c r="F115" s="3">
        <v>17</v>
      </c>
    </row>
    <row r="116" spans="1:9" ht="14.25" x14ac:dyDescent="0.15">
      <c r="A116" s="3" t="s">
        <v>127</v>
      </c>
      <c r="B116" s="3"/>
      <c r="C116" s="3"/>
      <c r="D116" s="1"/>
      <c r="E116" s="1"/>
    </row>
    <row r="117" spans="1:9" ht="14.25" x14ac:dyDescent="0.15">
      <c r="A117" s="3" t="s">
        <v>128</v>
      </c>
      <c r="B117" s="3">
        <v>0.26440000000000002</v>
      </c>
      <c r="C117" s="3">
        <v>0.122406</v>
      </c>
      <c r="D117" s="1" t="s">
        <v>1</v>
      </c>
      <c r="E117" s="1">
        <f t="shared" si="3"/>
        <v>1.1600248353838865</v>
      </c>
      <c r="F117" s="3">
        <v>108</v>
      </c>
    </row>
    <row r="118" spans="1:9" ht="14.25" x14ac:dyDescent="0.15">
      <c r="A118" s="3" t="s">
        <v>129</v>
      </c>
      <c r="B118" s="3">
        <v>8.7419999999999998E-2</v>
      </c>
      <c r="C118" s="3">
        <v>3.6565E-2</v>
      </c>
      <c r="D118" s="1" t="s">
        <v>1</v>
      </c>
      <c r="E118" s="1">
        <f t="shared" si="3"/>
        <v>1.3908108847258307</v>
      </c>
      <c r="F118" s="3">
        <v>76</v>
      </c>
    </row>
    <row r="119" spans="1:9" ht="14.25" x14ac:dyDescent="0.15">
      <c r="A119" s="3" t="s">
        <v>130</v>
      </c>
      <c r="B119" s="3">
        <v>7.775E-2</v>
      </c>
      <c r="C119" s="3">
        <v>1.2163999999999999E-2</v>
      </c>
      <c r="D119" s="1" t="s">
        <v>1</v>
      </c>
      <c r="E119" s="1">
        <f t="shared" si="3"/>
        <v>5.3918119039789554</v>
      </c>
      <c r="F119" s="3">
        <v>40</v>
      </c>
    </row>
    <row r="120" spans="1:9" ht="14.25" x14ac:dyDescent="0.15">
      <c r="A120" s="3" t="s">
        <v>131</v>
      </c>
      <c r="B120" s="3">
        <v>6.8690000000000001E-2</v>
      </c>
      <c r="C120" s="3">
        <v>1.0325000000000001E-2</v>
      </c>
      <c r="D120" s="1" t="s">
        <v>1</v>
      </c>
      <c r="E120" s="1">
        <f t="shared" si="3"/>
        <v>5.6527845036319606</v>
      </c>
      <c r="F120" s="3">
        <v>24</v>
      </c>
    </row>
    <row r="121" spans="1:9" ht="14.25" x14ac:dyDescent="0.15">
      <c r="A121" s="3" t="s">
        <v>132</v>
      </c>
      <c r="B121" s="3">
        <v>0.19858000000000001</v>
      </c>
      <c r="C121" s="3">
        <v>5.9829E-2</v>
      </c>
      <c r="D121" s="1" t="s">
        <v>1</v>
      </c>
      <c r="E121" s="1">
        <f t="shared" si="3"/>
        <v>2.3191261762690338</v>
      </c>
      <c r="F121" s="3">
        <v>98</v>
      </c>
    </row>
    <row r="122" spans="1:9" ht="14.25" x14ac:dyDescent="0.15">
      <c r="A122" s="3" t="s">
        <v>133</v>
      </c>
      <c r="B122" s="3">
        <v>7.5609999999999997E-2</v>
      </c>
      <c r="C122" s="3">
        <v>1.4539E-2</v>
      </c>
      <c r="D122" s="1" t="s">
        <v>1</v>
      </c>
      <c r="E122" s="1">
        <f t="shared" si="3"/>
        <v>4.2004952197537655</v>
      </c>
      <c r="F122" s="3">
        <v>33</v>
      </c>
    </row>
    <row r="123" spans="1:9" ht="14.25" x14ac:dyDescent="0.15">
      <c r="A123" s="3" t="s">
        <v>134</v>
      </c>
      <c r="B123" s="3">
        <v>7.3749999999999996E-2</v>
      </c>
      <c r="C123" s="3">
        <v>1.3597E-2</v>
      </c>
      <c r="D123" s="1" t="s">
        <v>1</v>
      </c>
      <c r="E123" s="1">
        <f t="shared" si="3"/>
        <v>4.4239905861587117</v>
      </c>
      <c r="F123" s="3">
        <v>42</v>
      </c>
    </row>
    <row r="124" spans="1:9" ht="14.25" x14ac:dyDescent="0.15">
      <c r="A124" s="3" t="s">
        <v>135</v>
      </c>
      <c r="B124" s="3">
        <v>0.25176999999999999</v>
      </c>
      <c r="C124" s="3">
        <v>0.13739799999999999</v>
      </c>
      <c r="D124" s="1" t="s">
        <v>1</v>
      </c>
      <c r="E124" s="1">
        <f t="shared" si="3"/>
        <v>0.83241386337501277</v>
      </c>
      <c r="F124" s="3">
        <v>175</v>
      </c>
    </row>
    <row r="125" spans="1:9" ht="14.25" x14ac:dyDescent="0.15">
      <c r="A125" s="3" t="s">
        <v>136</v>
      </c>
      <c r="B125" s="3">
        <v>8.6470000000000005E-2</v>
      </c>
      <c r="C125" s="3">
        <v>3.2717000000000003E-2</v>
      </c>
      <c r="D125" s="1" t="s">
        <v>1</v>
      </c>
      <c r="E125" s="1">
        <f t="shared" si="3"/>
        <v>1.6429684873307453</v>
      </c>
      <c r="F125" s="3">
        <v>46</v>
      </c>
    </row>
    <row r="126" spans="1:9" ht="14.25" x14ac:dyDescent="0.15">
      <c r="A126" s="3" t="s">
        <v>137</v>
      </c>
      <c r="B126" s="3">
        <v>7.7729999999999994E-2</v>
      </c>
      <c r="C126" s="3">
        <v>3.8202E-2</v>
      </c>
      <c r="D126" s="1" t="s">
        <v>1</v>
      </c>
      <c r="E126" s="1">
        <f t="shared" si="3"/>
        <v>1.0347102245955708</v>
      </c>
      <c r="F126" s="3">
        <v>50</v>
      </c>
    </row>
    <row r="127" spans="1:9" ht="14.25" x14ac:dyDescent="0.15">
      <c r="A127" s="3"/>
      <c r="B127" s="3"/>
      <c r="C127" s="3"/>
      <c r="D127" s="1"/>
      <c r="E127" s="1"/>
    </row>
    <row r="128" spans="1:9" ht="14.25" x14ac:dyDescent="0.15">
      <c r="A128" s="3" t="s">
        <v>52</v>
      </c>
      <c r="B128" s="28">
        <v>0.24990000000000001</v>
      </c>
      <c r="C128" s="28">
        <v>0.10369</v>
      </c>
      <c r="D128" s="1" t="s">
        <v>1</v>
      </c>
      <c r="E128" s="1">
        <f t="shared" si="3"/>
        <v>1.4100684733339763</v>
      </c>
      <c r="F128" s="3">
        <v>52</v>
      </c>
      <c r="G128" s="43" t="s">
        <v>138</v>
      </c>
      <c r="H128" s="43"/>
      <c r="I128" s="43"/>
    </row>
    <row r="129" spans="1:9" ht="14.25" x14ac:dyDescent="0.15">
      <c r="A129" s="35" t="s">
        <v>157</v>
      </c>
      <c r="B129" s="28">
        <v>0.12770000000000001</v>
      </c>
      <c r="C129" s="28">
        <v>2.1343999999999998E-2</v>
      </c>
      <c r="D129" s="1" t="s">
        <v>1</v>
      </c>
      <c r="E129" s="1">
        <f t="shared" si="3"/>
        <v>4.9829460269865073</v>
      </c>
      <c r="F129" s="3">
        <v>49</v>
      </c>
      <c r="G129" s="43" t="s">
        <v>139</v>
      </c>
      <c r="H129" s="43"/>
      <c r="I129" s="43"/>
    </row>
    <row r="130" spans="1:9" ht="14.25" x14ac:dyDescent="0.15">
      <c r="A130" s="3"/>
      <c r="B130" s="3"/>
      <c r="C130" s="3"/>
      <c r="D130" s="1"/>
      <c r="E130" s="1"/>
      <c r="G130" s="43"/>
      <c r="H130" s="43"/>
      <c r="I130" s="43"/>
    </row>
    <row r="131" spans="1:9" x14ac:dyDescent="0.15">
      <c r="A131" s="3"/>
      <c r="B131" s="3"/>
      <c r="C131" s="3"/>
      <c r="D131" s="3"/>
      <c r="E131" s="3"/>
    </row>
    <row r="132" spans="1:9" x14ac:dyDescent="0.15">
      <c r="A132" s="3" t="s">
        <v>140</v>
      </c>
      <c r="B132" s="3"/>
      <c r="C132" s="3"/>
      <c r="D132" s="3"/>
      <c r="E132" s="3"/>
      <c r="H132" t="s">
        <v>141</v>
      </c>
    </row>
    <row r="133" spans="1:9" x14ac:dyDescent="0.15">
      <c r="A133" s="3"/>
      <c r="B133" s="3"/>
      <c r="C133" s="3"/>
      <c r="D133" s="3"/>
      <c r="E133" s="3"/>
    </row>
    <row r="134" spans="1:9" x14ac:dyDescent="0.15">
      <c r="A134" s="3"/>
      <c r="B134" s="3"/>
      <c r="C134" s="3"/>
      <c r="D134" s="3"/>
      <c r="E134" s="3"/>
    </row>
    <row r="135" spans="1:9" x14ac:dyDescent="0.15">
      <c r="A135" s="3"/>
      <c r="B135" s="3"/>
      <c r="C135" s="3"/>
      <c r="D135" s="3"/>
      <c r="E135" s="3"/>
    </row>
    <row r="136" spans="1:9" x14ac:dyDescent="0.15">
      <c r="A136" s="3"/>
      <c r="B136" s="3"/>
      <c r="C136" s="3"/>
      <c r="D136" s="3"/>
      <c r="E136" s="3"/>
    </row>
    <row r="137" spans="1:9" x14ac:dyDescent="0.15">
      <c r="A137" s="3"/>
      <c r="B137" s="3"/>
      <c r="C137" s="3"/>
      <c r="D137" s="3"/>
      <c r="E137" s="3"/>
    </row>
    <row r="138" spans="1:9" x14ac:dyDescent="0.15">
      <c r="A138" s="3"/>
      <c r="B138" s="3"/>
      <c r="C138" s="3"/>
      <c r="D138" s="3"/>
      <c r="E138" s="3"/>
    </row>
    <row r="144" spans="1:9" x14ac:dyDescent="0.15">
      <c r="A144" s="3"/>
      <c r="B144" s="3"/>
      <c r="C144" s="3"/>
      <c r="D144" s="3"/>
      <c r="E144" s="3"/>
    </row>
  </sheetData>
  <mergeCells count="6">
    <mergeCell ref="G129:I130"/>
    <mergeCell ref="B2:F2"/>
    <mergeCell ref="G59:J59"/>
    <mergeCell ref="B42:F42"/>
    <mergeCell ref="B48:F48"/>
    <mergeCell ref="G128:I128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5" workbookViewId="0">
      <selection activeCell="A18" sqref="A18"/>
    </sheetView>
  </sheetViews>
  <sheetFormatPr defaultRowHeight="13.5" x14ac:dyDescent="0.15"/>
  <cols>
    <col min="1" max="1" width="37.75" style="3" customWidth="1"/>
    <col min="2" max="2" width="9" style="3"/>
    <col min="3" max="3" width="11.25" style="3" customWidth="1"/>
    <col min="4" max="4" width="13" style="3" customWidth="1"/>
    <col min="5" max="5" width="10.375" style="3" customWidth="1"/>
    <col min="6" max="6" width="9" style="3"/>
  </cols>
  <sheetData>
    <row r="1" spans="1:6" ht="13.5" customHeight="1" x14ac:dyDescent="0.15">
      <c r="A1" s="46" t="s">
        <v>39</v>
      </c>
      <c r="B1" s="44" t="s">
        <v>42</v>
      </c>
      <c r="C1" s="44" t="s">
        <v>50</v>
      </c>
      <c r="D1" s="44"/>
      <c r="E1" s="44"/>
      <c r="F1" s="45" t="s">
        <v>40</v>
      </c>
    </row>
    <row r="2" spans="1:6" ht="14.25" x14ac:dyDescent="0.15">
      <c r="A2" s="47"/>
      <c r="B2" s="44"/>
      <c r="C2" s="6" t="s">
        <v>49</v>
      </c>
      <c r="D2" s="6" t="s">
        <v>41</v>
      </c>
      <c r="E2" s="6" t="s">
        <v>44</v>
      </c>
      <c r="F2" s="45"/>
    </row>
    <row r="3" spans="1:6" ht="14.25" x14ac:dyDescent="0.15">
      <c r="A3" s="2" t="s">
        <v>0</v>
      </c>
      <c r="B3" s="3">
        <v>72</v>
      </c>
      <c r="C3" s="14">
        <v>13.831</v>
      </c>
      <c r="D3" s="14">
        <v>3.5720000000000001</v>
      </c>
      <c r="E3" s="16">
        <f>(C3-D3)/D3</f>
        <v>2.8720604703247479</v>
      </c>
      <c r="F3" s="8" t="s">
        <v>1</v>
      </c>
    </row>
    <row r="4" spans="1:6" ht="14.25" x14ac:dyDescent="0.15">
      <c r="A4" s="1" t="s">
        <v>2</v>
      </c>
      <c r="B4" s="3">
        <v>61</v>
      </c>
      <c r="C4" s="14">
        <v>24.654</v>
      </c>
      <c r="D4" s="14">
        <v>2.5782000000000003</v>
      </c>
      <c r="E4" s="16">
        <f t="shared" ref="E4:E39" si="0">(C4-D4)/D4</f>
        <v>8.5624854549685825</v>
      </c>
      <c r="F4" s="8" t="s">
        <v>1</v>
      </c>
    </row>
    <row r="5" spans="1:6" ht="14.25" x14ac:dyDescent="0.15">
      <c r="A5" s="2" t="s">
        <v>3</v>
      </c>
      <c r="B5" s="3">
        <v>27</v>
      </c>
      <c r="C5" s="14">
        <v>8.713000000000001</v>
      </c>
      <c r="D5" s="14">
        <v>2.1583999999999999</v>
      </c>
      <c r="E5" s="16">
        <f t="shared" si="0"/>
        <v>3.0367865085248336</v>
      </c>
      <c r="F5" s="8" t="s">
        <v>1</v>
      </c>
    </row>
    <row r="6" spans="1:6" ht="14.25" x14ac:dyDescent="0.15">
      <c r="A6" s="2" t="s">
        <v>4</v>
      </c>
      <c r="B6" s="3">
        <v>35</v>
      </c>
      <c r="C6" s="14">
        <v>11.481999999999999</v>
      </c>
      <c r="D6" s="14">
        <v>1.4018999999999999</v>
      </c>
      <c r="E6" s="16">
        <f t="shared" si="0"/>
        <v>7.1903131464441117</v>
      </c>
      <c r="F6" s="8" t="s">
        <v>1</v>
      </c>
    </row>
    <row r="7" spans="1:6" ht="14.25" x14ac:dyDescent="0.15">
      <c r="A7" s="2" t="s">
        <v>5</v>
      </c>
      <c r="B7" s="3">
        <v>36</v>
      </c>
      <c r="C7" s="14">
        <v>11.673</v>
      </c>
      <c r="D7" s="14">
        <v>2.8902000000000001</v>
      </c>
      <c r="E7" s="16">
        <f t="shared" si="0"/>
        <v>3.0388208428482457</v>
      </c>
      <c r="F7" s="8" t="s">
        <v>1</v>
      </c>
    </row>
    <row r="8" spans="1:6" ht="14.25" x14ac:dyDescent="0.15">
      <c r="A8" s="2" t="s">
        <v>6</v>
      </c>
      <c r="B8" s="3">
        <v>8</v>
      </c>
      <c r="C8" s="14">
        <v>6.4289999999999994</v>
      </c>
      <c r="D8" s="14">
        <v>0.63419999999999999</v>
      </c>
      <c r="E8" s="16">
        <f t="shared" si="0"/>
        <v>9.137180700094607</v>
      </c>
      <c r="F8" s="8" t="s">
        <v>1</v>
      </c>
    </row>
    <row r="9" spans="1:6" ht="14.25" x14ac:dyDescent="0.15">
      <c r="A9" s="2" t="s">
        <v>7</v>
      </c>
      <c r="B9" s="3">
        <v>9</v>
      </c>
      <c r="C9" s="14">
        <v>8.2889999999999997</v>
      </c>
      <c r="D9" s="14">
        <v>0.6352000000000001</v>
      </c>
      <c r="E9" s="16">
        <f t="shared" si="0"/>
        <v>12.049433249370274</v>
      </c>
      <c r="F9" s="8" t="s">
        <v>1</v>
      </c>
    </row>
    <row r="10" spans="1:6" ht="14.25" x14ac:dyDescent="0.15">
      <c r="A10" s="2" t="s">
        <v>8</v>
      </c>
      <c r="B10" s="3">
        <v>44</v>
      </c>
      <c r="C10" s="14">
        <v>11.469999999999999</v>
      </c>
      <c r="D10" s="14">
        <v>2.0038</v>
      </c>
      <c r="E10" s="16">
        <f t="shared" si="0"/>
        <v>4.7241241640882317</v>
      </c>
      <c r="F10" s="8" t="s">
        <v>1</v>
      </c>
    </row>
    <row r="11" spans="1:6" ht="14.25" x14ac:dyDescent="0.15">
      <c r="A11" s="2" t="s">
        <v>9</v>
      </c>
      <c r="B11" s="3">
        <v>11</v>
      </c>
      <c r="C11" s="14">
        <v>9.3570000000000011</v>
      </c>
      <c r="D11" s="14">
        <v>0.47049999999999997</v>
      </c>
      <c r="E11" s="16">
        <f t="shared" si="0"/>
        <v>18.887353878852288</v>
      </c>
      <c r="F11" s="8" t="s">
        <v>1</v>
      </c>
    </row>
    <row r="12" spans="1:6" ht="14.25" x14ac:dyDescent="0.15">
      <c r="A12" s="2" t="s">
        <v>10</v>
      </c>
      <c r="B12" s="3">
        <v>10</v>
      </c>
      <c r="C12" s="14">
        <v>7.3029999999999999</v>
      </c>
      <c r="D12" s="14">
        <v>0.40089999999999998</v>
      </c>
      <c r="E12" s="16">
        <f t="shared" si="0"/>
        <v>17.216512846096283</v>
      </c>
      <c r="F12" s="8" t="s">
        <v>1</v>
      </c>
    </row>
    <row r="13" spans="1:6" ht="14.25" x14ac:dyDescent="0.15">
      <c r="A13" s="2" t="s">
        <v>11</v>
      </c>
      <c r="B13" s="3">
        <v>43</v>
      </c>
      <c r="C13" s="14">
        <v>18.402000000000001</v>
      </c>
      <c r="D13" s="14">
        <v>2.3828</v>
      </c>
      <c r="E13" s="16">
        <f t="shared" si="0"/>
        <v>6.7228470706731578</v>
      </c>
      <c r="F13" s="8" t="s">
        <v>1</v>
      </c>
    </row>
    <row r="14" spans="1:6" ht="14.25" x14ac:dyDescent="0.15">
      <c r="A14" s="2" t="s">
        <v>12</v>
      </c>
      <c r="B14" s="3">
        <v>15</v>
      </c>
      <c r="C14" s="14">
        <v>10.112</v>
      </c>
      <c r="D14" s="14">
        <v>1.5891</v>
      </c>
      <c r="E14" s="16">
        <f t="shared" si="0"/>
        <v>5.3633503240828144</v>
      </c>
      <c r="F14" s="8" t="s">
        <v>1</v>
      </c>
    </row>
    <row r="15" spans="1:6" ht="14.25" x14ac:dyDescent="0.15">
      <c r="A15" s="2" t="s">
        <v>13</v>
      </c>
      <c r="B15" s="3">
        <v>10</v>
      </c>
      <c r="C15" s="14">
        <v>9.504999999999999</v>
      </c>
      <c r="D15" s="14">
        <v>0.64090000000000003</v>
      </c>
      <c r="E15" s="16">
        <f t="shared" si="0"/>
        <v>13.830706818536431</v>
      </c>
      <c r="F15" s="8" t="s">
        <v>1</v>
      </c>
    </row>
    <row r="16" spans="1:6" ht="14.25" x14ac:dyDescent="0.15">
      <c r="A16" s="2" t="s">
        <v>14</v>
      </c>
      <c r="B16" s="3">
        <v>26</v>
      </c>
      <c r="C16" s="14">
        <v>9.254999999999999</v>
      </c>
      <c r="D16" s="14">
        <v>2.8054000000000001</v>
      </c>
      <c r="E16" s="16">
        <f t="shared" si="0"/>
        <v>2.2989947957510508</v>
      </c>
      <c r="F16" s="8" t="s">
        <v>1</v>
      </c>
    </row>
    <row r="17" spans="1:6" ht="14.25" x14ac:dyDescent="0.15">
      <c r="A17" s="1" t="s">
        <v>156</v>
      </c>
      <c r="B17" s="3">
        <v>30</v>
      </c>
      <c r="C17" s="14">
        <v>9.7459999999999987</v>
      </c>
      <c r="D17" s="14">
        <v>2.113</v>
      </c>
      <c r="E17" s="16">
        <f t="shared" si="0"/>
        <v>3.6123994320870794</v>
      </c>
      <c r="F17" s="8" t="s">
        <v>1</v>
      </c>
    </row>
    <row r="18" spans="1:6" ht="14.25" x14ac:dyDescent="0.15">
      <c r="A18" s="2" t="s">
        <v>16</v>
      </c>
      <c r="B18" s="3">
        <v>122</v>
      </c>
      <c r="C18" s="14">
        <v>28.382000000000001</v>
      </c>
      <c r="D18" s="14">
        <v>31.492000000000001</v>
      </c>
      <c r="E18" s="16">
        <f t="shared" si="0"/>
        <v>-9.8755239425885918E-2</v>
      </c>
      <c r="F18" s="8" t="s">
        <v>1</v>
      </c>
    </row>
    <row r="19" spans="1:6" ht="14.25" x14ac:dyDescent="0.15">
      <c r="A19" s="2" t="s">
        <v>17</v>
      </c>
      <c r="B19" s="3">
        <v>11</v>
      </c>
      <c r="C19" s="14">
        <v>7.3460000000000001</v>
      </c>
      <c r="D19" s="14">
        <v>0.74339999999999995</v>
      </c>
      <c r="E19" s="16">
        <f t="shared" si="0"/>
        <v>8.8816249663707296</v>
      </c>
      <c r="F19" s="8" t="s">
        <v>1</v>
      </c>
    </row>
    <row r="20" spans="1:6" ht="14.25" x14ac:dyDescent="0.15">
      <c r="A20" s="2" t="s">
        <v>18</v>
      </c>
      <c r="B20" s="3">
        <v>34</v>
      </c>
      <c r="C20" s="14">
        <v>9.9</v>
      </c>
      <c r="D20" s="14">
        <v>2.1640000000000001</v>
      </c>
      <c r="E20" s="16">
        <f t="shared" si="0"/>
        <v>3.5748613678373382</v>
      </c>
      <c r="F20" s="8" t="s">
        <v>1</v>
      </c>
    </row>
    <row r="21" spans="1:6" ht="14.25" x14ac:dyDescent="0.15">
      <c r="A21" s="2" t="s">
        <v>19</v>
      </c>
      <c r="B21" s="3">
        <v>12</v>
      </c>
      <c r="C21" s="14">
        <v>10.930999999999999</v>
      </c>
      <c r="D21" s="14">
        <v>0.5232</v>
      </c>
      <c r="E21" s="16">
        <f t="shared" si="0"/>
        <v>19.892584097859327</v>
      </c>
      <c r="F21" s="8" t="s">
        <v>1</v>
      </c>
    </row>
    <row r="22" spans="1:6" ht="14.25" x14ac:dyDescent="0.15">
      <c r="A22" s="2" t="s">
        <v>20</v>
      </c>
      <c r="B22" s="3">
        <v>17</v>
      </c>
      <c r="C22" s="14">
        <v>9.11</v>
      </c>
      <c r="D22" s="14">
        <v>2.0127999999999999</v>
      </c>
      <c r="E22" s="16">
        <f t="shared" si="0"/>
        <v>3.5260333863275037</v>
      </c>
      <c r="F22" s="8" t="s">
        <v>1</v>
      </c>
    </row>
    <row r="23" spans="1:6" ht="14.25" x14ac:dyDescent="0.15">
      <c r="A23" s="2" t="s">
        <v>21</v>
      </c>
      <c r="B23" s="3">
        <v>44</v>
      </c>
      <c r="C23" s="14">
        <v>9.9789999999999992</v>
      </c>
      <c r="D23" s="14">
        <v>2.6018999999999997</v>
      </c>
      <c r="E23" s="16">
        <f t="shared" si="0"/>
        <v>2.8352742226834238</v>
      </c>
      <c r="F23" s="8" t="s">
        <v>1</v>
      </c>
    </row>
    <row r="24" spans="1:6" ht="14.25" x14ac:dyDescent="0.15">
      <c r="A24" s="2" t="s">
        <v>22</v>
      </c>
      <c r="B24" s="3">
        <v>48</v>
      </c>
      <c r="C24" s="14">
        <v>12.661999999999999</v>
      </c>
      <c r="D24" s="14">
        <v>2.7085999999999997</v>
      </c>
      <c r="E24" s="16">
        <f t="shared" si="0"/>
        <v>3.6747397179354646</v>
      </c>
      <c r="F24" s="8" t="s">
        <v>1</v>
      </c>
    </row>
    <row r="25" spans="1:6" ht="14.25" x14ac:dyDescent="0.15">
      <c r="A25" s="2" t="s">
        <v>23</v>
      </c>
      <c r="B25" s="3">
        <v>10</v>
      </c>
      <c r="C25" s="14">
        <v>8.4819999999999993</v>
      </c>
      <c r="D25" s="14">
        <v>0.55110000000000003</v>
      </c>
      <c r="E25" s="16">
        <f t="shared" si="0"/>
        <v>14.391036109598982</v>
      </c>
      <c r="F25" s="8" t="s">
        <v>1</v>
      </c>
    </row>
    <row r="26" spans="1:6" ht="14.25" x14ac:dyDescent="0.15">
      <c r="A26" s="2" t="s">
        <v>24</v>
      </c>
      <c r="B26" s="3">
        <v>11</v>
      </c>
      <c r="C26" s="14">
        <v>6.91</v>
      </c>
      <c r="D26" s="14">
        <v>0.64449999999999996</v>
      </c>
      <c r="E26" s="16">
        <f t="shared" si="0"/>
        <v>9.7214895267649357</v>
      </c>
      <c r="F26" s="8" t="s">
        <v>1</v>
      </c>
    </row>
    <row r="27" spans="1:6" ht="14.25" x14ac:dyDescent="0.15">
      <c r="A27" s="2" t="s">
        <v>25</v>
      </c>
      <c r="B27" s="3">
        <v>14</v>
      </c>
      <c r="C27" s="14">
        <v>7.8140000000000001</v>
      </c>
      <c r="D27" s="14">
        <v>0.6552</v>
      </c>
      <c r="E27" s="16">
        <f t="shared" si="0"/>
        <v>10.926129426129426</v>
      </c>
      <c r="F27" s="8" t="s">
        <v>1</v>
      </c>
    </row>
    <row r="28" spans="1:6" ht="14.25" x14ac:dyDescent="0.15">
      <c r="A28" s="2" t="s">
        <v>26</v>
      </c>
      <c r="B28" s="3">
        <v>11</v>
      </c>
      <c r="C28" s="14">
        <v>9.7739999999999991</v>
      </c>
      <c r="D28" s="14">
        <v>0.67549999999999999</v>
      </c>
      <c r="E28" s="16">
        <f t="shared" si="0"/>
        <v>13.469282013323463</v>
      </c>
      <c r="F28" s="8" t="s">
        <v>1</v>
      </c>
    </row>
    <row r="29" spans="1:6" ht="14.25" x14ac:dyDescent="0.15">
      <c r="A29" s="2" t="s">
        <v>27</v>
      </c>
      <c r="B29" s="3">
        <v>34</v>
      </c>
      <c r="C29" s="14">
        <v>6.7910000000000004</v>
      </c>
      <c r="D29" s="14">
        <v>1.3555999999999999</v>
      </c>
      <c r="E29" s="16">
        <f t="shared" si="0"/>
        <v>4.009589849513131</v>
      </c>
      <c r="F29" s="8" t="s">
        <v>1</v>
      </c>
    </row>
    <row r="30" spans="1:6" ht="14.25" x14ac:dyDescent="0.15">
      <c r="A30" s="2" t="s">
        <v>28</v>
      </c>
      <c r="B30" s="3">
        <v>15</v>
      </c>
      <c r="C30" s="14">
        <v>9.1369999999999987</v>
      </c>
      <c r="D30" s="14">
        <v>0.69280000000000008</v>
      </c>
      <c r="E30" s="16">
        <f t="shared" si="0"/>
        <v>12.188510392609697</v>
      </c>
      <c r="F30" s="8" t="s">
        <v>1</v>
      </c>
    </row>
    <row r="31" spans="1:6" ht="14.25" x14ac:dyDescent="0.15">
      <c r="A31" s="2" t="s">
        <v>29</v>
      </c>
      <c r="B31" s="3">
        <v>10</v>
      </c>
      <c r="C31" s="14">
        <v>8.782</v>
      </c>
      <c r="D31" s="14">
        <v>0.52059999999999995</v>
      </c>
      <c r="E31" s="16">
        <f t="shared" si="0"/>
        <v>15.868997310795239</v>
      </c>
      <c r="F31" s="8" t="s">
        <v>1</v>
      </c>
    </row>
    <row r="32" spans="1:6" ht="14.25" x14ac:dyDescent="0.15">
      <c r="A32" s="2" t="s">
        <v>30</v>
      </c>
      <c r="B32" s="3">
        <v>40</v>
      </c>
      <c r="C32" s="14">
        <v>12.683</v>
      </c>
      <c r="D32" s="14">
        <v>1.5633999999999999</v>
      </c>
      <c r="E32" s="16">
        <f t="shared" si="0"/>
        <v>7.1124472303952926</v>
      </c>
      <c r="F32" s="8" t="s">
        <v>1</v>
      </c>
    </row>
    <row r="33" spans="1:6" ht="14.25" x14ac:dyDescent="0.15">
      <c r="A33" s="2" t="s">
        <v>31</v>
      </c>
      <c r="B33" s="3">
        <v>85</v>
      </c>
      <c r="C33" s="14">
        <v>17.529</v>
      </c>
      <c r="D33" s="14">
        <v>7.1356000000000002</v>
      </c>
      <c r="E33" s="16">
        <f t="shared" si="0"/>
        <v>1.4565558607545266</v>
      </c>
      <c r="F33" s="8" t="s">
        <v>1</v>
      </c>
    </row>
    <row r="34" spans="1:6" ht="14.25" x14ac:dyDescent="0.15">
      <c r="A34" s="2" t="s">
        <v>32</v>
      </c>
      <c r="B34" s="3">
        <v>59</v>
      </c>
      <c r="C34" s="14">
        <v>8.75</v>
      </c>
      <c r="D34" s="14">
        <v>3.1053000000000002</v>
      </c>
      <c r="E34" s="16">
        <f t="shared" si="0"/>
        <v>1.8177631790809261</v>
      </c>
      <c r="F34" s="8" t="s">
        <v>1</v>
      </c>
    </row>
    <row r="35" spans="1:6" ht="14.25" x14ac:dyDescent="0.15">
      <c r="A35" s="2" t="s">
        <v>33</v>
      </c>
      <c r="B35" s="3">
        <v>75</v>
      </c>
      <c r="C35" s="14">
        <v>20.212</v>
      </c>
      <c r="D35" s="14">
        <v>5.0562000000000005</v>
      </c>
      <c r="E35" s="16">
        <f t="shared" si="0"/>
        <v>2.9974684545706256</v>
      </c>
      <c r="F35" s="8" t="s">
        <v>1</v>
      </c>
    </row>
    <row r="36" spans="1:6" ht="14.25" x14ac:dyDescent="0.15">
      <c r="A36" s="2" t="s">
        <v>34</v>
      </c>
      <c r="B36" s="3">
        <v>64</v>
      </c>
      <c r="C36" s="14">
        <v>6.5329999999999995</v>
      </c>
      <c r="D36" s="14">
        <v>2.1779000000000002</v>
      </c>
      <c r="E36" s="16">
        <f t="shared" si="0"/>
        <v>1.9996785894669171</v>
      </c>
      <c r="F36" s="8" t="s">
        <v>1</v>
      </c>
    </row>
    <row r="37" spans="1:6" ht="14.25" x14ac:dyDescent="0.15">
      <c r="A37" s="4" t="s">
        <v>46</v>
      </c>
      <c r="B37" s="3">
        <v>64</v>
      </c>
      <c r="C37" s="14">
        <v>8.7620000000000005</v>
      </c>
      <c r="D37" s="14">
        <v>3.0968</v>
      </c>
      <c r="E37" s="16">
        <f t="shared" si="0"/>
        <v>1.8293722552312066</v>
      </c>
      <c r="F37" s="8" t="s">
        <v>1</v>
      </c>
    </row>
    <row r="38" spans="1:6" ht="14.25" x14ac:dyDescent="0.15">
      <c r="A38" s="4" t="s">
        <v>47</v>
      </c>
      <c r="B38" s="3">
        <v>133</v>
      </c>
      <c r="C38" s="14">
        <v>51.353000000000002</v>
      </c>
      <c r="D38" s="14">
        <v>18.334799999999998</v>
      </c>
      <c r="E38" s="16">
        <f t="shared" si="0"/>
        <v>1.8008486593799775</v>
      </c>
      <c r="F38" s="8" t="s">
        <v>1</v>
      </c>
    </row>
    <row r="39" spans="1:6" ht="14.25" x14ac:dyDescent="0.15">
      <c r="A39" s="4" t="s">
        <v>48</v>
      </c>
      <c r="B39" s="3">
        <v>59</v>
      </c>
      <c r="C39" s="14">
        <v>8.7829999999999995</v>
      </c>
      <c r="D39" s="14">
        <v>1.5627</v>
      </c>
      <c r="E39" s="16">
        <f t="shared" si="0"/>
        <v>4.6204005887246433</v>
      </c>
      <c r="F39" s="8" t="s">
        <v>1</v>
      </c>
    </row>
    <row r="40" spans="1:6" x14ac:dyDescent="0.15">
      <c r="A40" s="5" t="s">
        <v>51</v>
      </c>
      <c r="B40" s="14">
        <f>AVERAGE(B3:B39)</f>
        <v>38.081081081081081</v>
      </c>
      <c r="C40" s="14">
        <f t="shared" ref="C40:E40" si="1">AVERAGE(C3:C39)</f>
        <v>12.184486486486488</v>
      </c>
      <c r="D40" s="14">
        <f t="shared" si="1"/>
        <v>3.1256864864864866</v>
      </c>
      <c r="E40" s="14">
        <f t="shared" si="1"/>
        <v>7.1632243694235029</v>
      </c>
    </row>
  </sheetData>
  <mergeCells count="4">
    <mergeCell ref="B1:B2"/>
    <mergeCell ref="F1:F2"/>
    <mergeCell ref="C1:E1"/>
    <mergeCell ref="A1:A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7" sqref="B7:E7"/>
    </sheetView>
  </sheetViews>
  <sheetFormatPr defaultRowHeight="13.5" x14ac:dyDescent="0.15"/>
  <cols>
    <col min="1" max="1" width="22.625" style="24" customWidth="1"/>
    <col min="2" max="2" width="20.5" style="24" customWidth="1"/>
    <col min="3" max="3" width="15.375" style="24" customWidth="1"/>
    <col min="4" max="4" width="16.625" style="24" customWidth="1"/>
    <col min="5" max="5" width="15.75" style="24" customWidth="1"/>
    <col min="6" max="6" width="9" style="24"/>
  </cols>
  <sheetData>
    <row r="1" spans="1:6" ht="13.5" customHeight="1" x14ac:dyDescent="0.15">
      <c r="A1" s="45" t="s">
        <v>39</v>
      </c>
      <c r="B1" s="44" t="s">
        <v>42</v>
      </c>
      <c r="C1" s="44" t="s">
        <v>50</v>
      </c>
      <c r="D1" s="44"/>
      <c r="E1" s="44"/>
      <c r="F1" s="45" t="s">
        <v>40</v>
      </c>
    </row>
    <row r="2" spans="1:6" ht="14.25" x14ac:dyDescent="0.15">
      <c r="A2" s="45"/>
      <c r="B2" s="44"/>
      <c r="C2" s="6" t="s">
        <v>49</v>
      </c>
      <c r="D2" s="6" t="s">
        <v>41</v>
      </c>
      <c r="E2" s="6" t="s">
        <v>43</v>
      </c>
      <c r="F2" s="45"/>
    </row>
    <row r="3" spans="1:6" ht="14.25" x14ac:dyDescent="0.15">
      <c r="A3" s="7" t="s">
        <v>35</v>
      </c>
      <c r="B3" s="7">
        <v>13</v>
      </c>
      <c r="C3" s="16">
        <v>17.465</v>
      </c>
      <c r="D3" s="16">
        <v>0.66779999999999995</v>
      </c>
      <c r="E3" s="16">
        <f>(C3-D3)/D3</f>
        <v>25.153039832285117</v>
      </c>
      <c r="F3" s="8" t="s">
        <v>1</v>
      </c>
    </row>
    <row r="4" spans="1:6" ht="14.25" x14ac:dyDescent="0.15">
      <c r="A4" s="7" t="s">
        <v>36</v>
      </c>
      <c r="B4" s="7">
        <v>12</v>
      </c>
      <c r="C4" s="16">
        <v>16.701000000000001</v>
      </c>
      <c r="D4" s="16">
        <v>0.66410000000000002</v>
      </c>
      <c r="E4" s="16">
        <f t="shared" ref="E4:E6" si="0">(C4-D4)/D4</f>
        <v>24.148321035988555</v>
      </c>
      <c r="F4" s="8" t="s">
        <v>1</v>
      </c>
    </row>
    <row r="5" spans="1:6" ht="14.25" x14ac:dyDescent="0.15">
      <c r="A5" s="7" t="s">
        <v>37</v>
      </c>
      <c r="B5" s="7">
        <v>14</v>
      </c>
      <c r="C5" s="16">
        <v>19.023000000000003</v>
      </c>
      <c r="D5" s="16">
        <v>0.4551</v>
      </c>
      <c r="E5" s="16">
        <f t="shared" si="0"/>
        <v>40.799604482531315</v>
      </c>
      <c r="F5" s="8" t="s">
        <v>1</v>
      </c>
    </row>
    <row r="6" spans="1:6" ht="14.25" x14ac:dyDescent="0.15">
      <c r="A6" s="7" t="s">
        <v>38</v>
      </c>
      <c r="B6" s="7">
        <v>21</v>
      </c>
      <c r="C6" s="16">
        <v>19.005000000000003</v>
      </c>
      <c r="D6" s="16">
        <v>0.63019999999999998</v>
      </c>
      <c r="E6" s="16">
        <f t="shared" si="0"/>
        <v>29.157092986353547</v>
      </c>
      <c r="F6" s="8" t="s">
        <v>1</v>
      </c>
    </row>
    <row r="7" spans="1:6" x14ac:dyDescent="0.15">
      <c r="A7" s="9" t="s">
        <v>51</v>
      </c>
      <c r="B7" s="17">
        <f>AVERAGE(B3:B6)</f>
        <v>15</v>
      </c>
      <c r="C7" s="17">
        <f>AVERAGE(C3:C6)</f>
        <v>18.048500000000001</v>
      </c>
      <c r="D7" s="17">
        <f>AVERAGE(D3:D6)</f>
        <v>0.60430000000000006</v>
      </c>
      <c r="E7" s="17">
        <f>AVERAGE(E3:E6)</f>
        <v>29.814514584289633</v>
      </c>
      <c r="F7" s="7"/>
    </row>
    <row r="8" spans="1:6" ht="14.25" x14ac:dyDescent="0.15">
      <c r="A8" s="25"/>
      <c r="B8" s="19"/>
      <c r="C8" s="23"/>
      <c r="D8" s="23"/>
      <c r="E8" s="20"/>
      <c r="F8" s="21"/>
    </row>
    <row r="9" spans="1:6" ht="14.25" x14ac:dyDescent="0.15">
      <c r="A9" s="25"/>
      <c r="B9" s="19"/>
      <c r="C9" s="23"/>
      <c r="D9" s="23"/>
      <c r="E9" s="20"/>
      <c r="F9" s="21"/>
    </row>
    <row r="10" spans="1:6" ht="14.25" x14ac:dyDescent="0.15">
      <c r="A10" s="25"/>
      <c r="B10" s="19"/>
      <c r="C10" s="23"/>
      <c r="D10" s="23"/>
      <c r="E10" s="20"/>
      <c r="F10" s="21"/>
    </row>
    <row r="11" spans="1:6" ht="14.25" x14ac:dyDescent="0.15">
      <c r="A11" s="25"/>
      <c r="B11" s="19"/>
      <c r="C11" s="23"/>
      <c r="D11" s="23"/>
      <c r="E11" s="20"/>
      <c r="F11" s="21"/>
    </row>
    <row r="12" spans="1:6" ht="14.25" x14ac:dyDescent="0.15">
      <c r="A12" s="25"/>
      <c r="B12" s="19"/>
      <c r="C12" s="23"/>
      <c r="D12" s="23"/>
      <c r="E12" s="20"/>
      <c r="F12" s="21"/>
    </row>
    <row r="13" spans="1:6" ht="14.25" x14ac:dyDescent="0.15">
      <c r="A13" s="25"/>
      <c r="B13" s="19"/>
      <c r="C13" s="23"/>
      <c r="D13" s="23"/>
      <c r="E13" s="20"/>
      <c r="F13" s="21"/>
    </row>
    <row r="14" spans="1:6" ht="14.25" x14ac:dyDescent="0.15">
      <c r="A14" s="25"/>
      <c r="B14" s="19"/>
      <c r="C14" s="23"/>
      <c r="D14" s="23"/>
      <c r="E14" s="20"/>
      <c r="F14" s="21"/>
    </row>
    <row r="15" spans="1:6" ht="14.25" x14ac:dyDescent="0.15">
      <c r="A15" s="25"/>
      <c r="B15" s="19"/>
      <c r="C15" s="23"/>
      <c r="D15" s="23"/>
      <c r="E15" s="20"/>
      <c r="F15" s="21"/>
    </row>
    <row r="16" spans="1:6" ht="14.25" x14ac:dyDescent="0.15">
      <c r="A16" s="25"/>
      <c r="B16" s="19"/>
      <c r="C16" s="23"/>
      <c r="D16" s="23"/>
      <c r="E16" s="20"/>
      <c r="F16" s="21"/>
    </row>
    <row r="17" spans="1:6" ht="14.25" x14ac:dyDescent="0.15">
      <c r="A17" s="18"/>
      <c r="B17" s="19"/>
      <c r="C17" s="23"/>
      <c r="D17" s="23"/>
      <c r="E17" s="20"/>
      <c r="F17" s="21"/>
    </row>
    <row r="18" spans="1:6" ht="14.25" x14ac:dyDescent="0.15">
      <c r="A18" s="25"/>
      <c r="B18" s="19"/>
      <c r="C18" s="23"/>
      <c r="D18" s="23"/>
      <c r="E18" s="20"/>
      <c r="F18" s="21"/>
    </row>
    <row r="19" spans="1:6" ht="14.25" x14ac:dyDescent="0.15">
      <c r="A19" s="25"/>
      <c r="B19" s="19"/>
      <c r="C19" s="23"/>
      <c r="D19" s="23"/>
      <c r="E19" s="20"/>
      <c r="F19" s="21"/>
    </row>
    <row r="20" spans="1:6" ht="14.25" x14ac:dyDescent="0.15">
      <c r="A20" s="25"/>
      <c r="B20" s="19"/>
      <c r="C20" s="23"/>
      <c r="D20" s="23"/>
      <c r="E20" s="20"/>
      <c r="F20" s="21"/>
    </row>
    <row r="21" spans="1:6" ht="14.25" x14ac:dyDescent="0.15">
      <c r="A21" s="25"/>
      <c r="B21" s="19"/>
      <c r="C21" s="23"/>
      <c r="D21" s="23"/>
      <c r="E21" s="20"/>
      <c r="F21" s="21"/>
    </row>
    <row r="22" spans="1:6" ht="14.25" x14ac:dyDescent="0.15">
      <c r="A22" s="25"/>
      <c r="B22" s="19"/>
      <c r="C22" s="23"/>
      <c r="D22" s="23"/>
      <c r="E22" s="20"/>
      <c r="F22" s="21"/>
    </row>
    <row r="23" spans="1:6" ht="14.25" x14ac:dyDescent="0.15">
      <c r="A23" s="25"/>
      <c r="B23" s="19"/>
      <c r="C23" s="23"/>
      <c r="D23" s="23"/>
      <c r="E23" s="20"/>
      <c r="F23" s="21"/>
    </row>
    <row r="24" spans="1:6" ht="14.25" x14ac:dyDescent="0.15">
      <c r="A24" s="25"/>
      <c r="B24" s="19"/>
      <c r="C24" s="23"/>
      <c r="D24" s="23"/>
      <c r="E24" s="20"/>
      <c r="F24" s="21"/>
    </row>
    <row r="25" spans="1:6" ht="14.25" x14ac:dyDescent="0.15">
      <c r="A25" s="25"/>
      <c r="B25" s="19"/>
      <c r="C25" s="23"/>
      <c r="D25" s="23"/>
      <c r="E25" s="20"/>
      <c r="F25" s="21"/>
    </row>
    <row r="26" spans="1:6" ht="14.25" x14ac:dyDescent="0.15">
      <c r="A26" s="25"/>
      <c r="B26" s="19"/>
      <c r="C26" s="23"/>
      <c r="D26" s="23"/>
      <c r="E26" s="20"/>
      <c r="F26" s="21"/>
    </row>
    <row r="27" spans="1:6" ht="14.25" x14ac:dyDescent="0.15">
      <c r="A27" s="25"/>
      <c r="B27" s="19"/>
      <c r="C27" s="23"/>
      <c r="D27" s="23"/>
      <c r="E27" s="20"/>
      <c r="F27" s="21"/>
    </row>
    <row r="28" spans="1:6" ht="14.25" x14ac:dyDescent="0.15">
      <c r="A28" s="25"/>
      <c r="B28" s="19"/>
      <c r="C28" s="23"/>
      <c r="D28" s="23"/>
      <c r="E28" s="20"/>
      <c r="F28" s="21"/>
    </row>
    <row r="29" spans="1:6" ht="14.25" x14ac:dyDescent="0.15">
      <c r="A29" s="25"/>
      <c r="B29" s="19"/>
      <c r="C29" s="23"/>
      <c r="D29" s="23"/>
      <c r="E29" s="20"/>
      <c r="F29" s="21"/>
    </row>
    <row r="30" spans="1:6" ht="14.25" x14ac:dyDescent="0.15">
      <c r="A30" s="25"/>
      <c r="B30" s="19"/>
      <c r="C30" s="23"/>
      <c r="D30" s="23"/>
      <c r="E30" s="20"/>
      <c r="F30" s="21"/>
    </row>
    <row r="31" spans="1:6" ht="14.25" x14ac:dyDescent="0.15">
      <c r="A31" s="25"/>
      <c r="B31" s="19"/>
      <c r="C31" s="23"/>
      <c r="D31" s="23"/>
      <c r="E31" s="20"/>
      <c r="F31" s="21"/>
    </row>
    <row r="32" spans="1:6" ht="14.25" x14ac:dyDescent="0.15">
      <c r="A32" s="25"/>
      <c r="B32" s="19"/>
      <c r="C32" s="23"/>
      <c r="D32" s="23"/>
      <c r="E32" s="20"/>
      <c r="F32" s="21"/>
    </row>
    <row r="33" spans="1:6" ht="14.25" x14ac:dyDescent="0.15">
      <c r="A33" s="25"/>
      <c r="B33" s="19"/>
      <c r="C33" s="23"/>
      <c r="D33" s="23"/>
      <c r="E33" s="20"/>
      <c r="F33" s="21"/>
    </row>
    <row r="34" spans="1:6" ht="14.25" x14ac:dyDescent="0.15">
      <c r="A34" s="25"/>
      <c r="B34" s="19"/>
      <c r="C34" s="23"/>
      <c r="D34" s="23"/>
      <c r="E34" s="20"/>
      <c r="F34" s="21"/>
    </row>
    <row r="35" spans="1:6" ht="14.25" x14ac:dyDescent="0.15">
      <c r="A35" s="25"/>
      <c r="B35" s="19"/>
      <c r="C35" s="23"/>
      <c r="D35" s="23"/>
      <c r="E35" s="20"/>
      <c r="F35" s="21"/>
    </row>
    <row r="36" spans="1:6" ht="14.25" x14ac:dyDescent="0.15">
      <c r="A36" s="25"/>
      <c r="B36" s="19"/>
      <c r="C36" s="23"/>
      <c r="D36" s="23"/>
      <c r="E36" s="20"/>
      <c r="F36" s="21"/>
    </row>
    <row r="37" spans="1:6" ht="14.25" x14ac:dyDescent="0.15">
      <c r="A37" s="22"/>
      <c r="B37" s="19"/>
      <c r="C37" s="23"/>
      <c r="D37" s="23"/>
      <c r="E37" s="20"/>
      <c r="F37" s="21"/>
    </row>
    <row r="38" spans="1:6" ht="14.25" x14ac:dyDescent="0.15">
      <c r="A38" s="22"/>
      <c r="B38" s="19"/>
      <c r="C38" s="23"/>
      <c r="D38" s="23"/>
      <c r="E38" s="20"/>
      <c r="F38" s="21"/>
    </row>
    <row r="39" spans="1:6" ht="14.25" x14ac:dyDescent="0.15">
      <c r="A39" s="22"/>
      <c r="B39" s="19"/>
      <c r="C39" s="23"/>
      <c r="D39" s="23"/>
      <c r="E39" s="20"/>
      <c r="F39" s="21"/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5" sqref="B5:E5"/>
    </sheetView>
  </sheetViews>
  <sheetFormatPr defaultRowHeight="13.5" x14ac:dyDescent="0.15"/>
  <cols>
    <col min="1" max="1" width="21.5" customWidth="1"/>
  </cols>
  <sheetData>
    <row r="1" spans="1:6" x14ac:dyDescent="0.15">
      <c r="A1" s="45" t="s">
        <v>39</v>
      </c>
      <c r="B1" s="44" t="s">
        <v>42</v>
      </c>
      <c r="C1" s="44" t="s">
        <v>50</v>
      </c>
      <c r="D1" s="44"/>
      <c r="E1" s="44"/>
      <c r="F1" s="45" t="s">
        <v>40</v>
      </c>
    </row>
    <row r="2" spans="1:6" ht="14.25" x14ac:dyDescent="0.15">
      <c r="A2" s="45"/>
      <c r="B2" s="44"/>
      <c r="C2" s="31" t="s">
        <v>49</v>
      </c>
      <c r="D2" s="31" t="s">
        <v>41</v>
      </c>
      <c r="E2" s="31" t="s">
        <v>43</v>
      </c>
      <c r="F2" s="45"/>
    </row>
    <row r="3" spans="1:6" ht="14.25" x14ac:dyDescent="0.15">
      <c r="A3" s="7" t="s">
        <v>52</v>
      </c>
      <c r="B3" s="7">
        <v>52</v>
      </c>
      <c r="C3" s="16">
        <v>249.9</v>
      </c>
      <c r="D3" s="16">
        <v>103.69</v>
      </c>
      <c r="E3" s="16">
        <f>(C3-D3)/D3</f>
        <v>1.4100684733339763</v>
      </c>
      <c r="F3" s="8" t="s">
        <v>1</v>
      </c>
    </row>
    <row r="4" spans="1:6" ht="14.25" x14ac:dyDescent="0.15">
      <c r="A4" s="33" t="s">
        <v>157</v>
      </c>
      <c r="B4" s="7">
        <v>49</v>
      </c>
      <c r="C4" s="16">
        <v>127.7</v>
      </c>
      <c r="D4" s="16">
        <v>21.34</v>
      </c>
      <c r="E4" s="16">
        <f t="shared" ref="E4:E5" si="0">(C4-D4)/D4</f>
        <v>4.9840674789128396</v>
      </c>
      <c r="F4" s="8" t="s">
        <v>1</v>
      </c>
    </row>
    <row r="5" spans="1:6" ht="14.25" x14ac:dyDescent="0.15">
      <c r="A5" s="30" t="s">
        <v>51</v>
      </c>
      <c r="B5" s="17">
        <f>AVERAGE(B3:B4)</f>
        <v>50.5</v>
      </c>
      <c r="C5" s="16">
        <f>AVERAGE(C3:C4)</f>
        <v>188.8</v>
      </c>
      <c r="D5" s="16">
        <f>AVERAGE(D3:D4)</f>
        <v>62.515000000000001</v>
      </c>
      <c r="E5" s="16">
        <f>AVERAGE(E3:E4)</f>
        <v>3.197067976123408</v>
      </c>
      <c r="F5" s="8"/>
    </row>
    <row r="6" spans="1:6" x14ac:dyDescent="0.15">
      <c r="A6" s="22"/>
      <c r="B6" s="23"/>
      <c r="C6" s="48"/>
      <c r="D6" s="48"/>
      <c r="E6" s="48"/>
      <c r="F6" s="19"/>
    </row>
    <row r="13" spans="1:6" ht="14.25" x14ac:dyDescent="0.15">
      <c r="A13" s="28"/>
      <c r="B13" s="28"/>
      <c r="C13" s="28"/>
      <c r="D13" s="29"/>
      <c r="E13" s="29"/>
      <c r="F13" s="28"/>
    </row>
    <row r="14" spans="1:6" ht="14.25" x14ac:dyDescent="0.15">
      <c r="A14" s="35"/>
      <c r="B14" s="28"/>
      <c r="C14" s="28"/>
      <c r="D14" s="29"/>
      <c r="E14" s="29"/>
      <c r="F14" s="28"/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A13" workbookViewId="0">
      <selection activeCell="G13" sqref="G13"/>
    </sheetView>
  </sheetViews>
  <sheetFormatPr defaultRowHeight="13.5" x14ac:dyDescent="0.15"/>
  <cols>
    <col min="1" max="1" width="29.625" customWidth="1"/>
    <col min="3" max="3" width="14.25" customWidth="1"/>
    <col min="4" max="4" width="15.125" customWidth="1"/>
  </cols>
  <sheetData>
    <row r="1" spans="1:8" x14ac:dyDescent="0.15">
      <c r="A1" s="45" t="s">
        <v>39</v>
      </c>
      <c r="B1" s="44" t="s">
        <v>42</v>
      </c>
      <c r="C1" s="44" t="s">
        <v>50</v>
      </c>
      <c r="D1" s="44"/>
      <c r="E1" s="44"/>
      <c r="F1" s="45" t="s">
        <v>40</v>
      </c>
    </row>
    <row r="2" spans="1:8" ht="14.25" x14ac:dyDescent="0.15">
      <c r="A2" s="45"/>
      <c r="B2" s="44"/>
      <c r="C2" s="12" t="s">
        <v>49</v>
      </c>
      <c r="D2" s="12" t="s">
        <v>41</v>
      </c>
      <c r="E2" s="12" t="s">
        <v>43</v>
      </c>
      <c r="F2" s="45"/>
    </row>
    <row r="3" spans="1:8" ht="14.25" x14ac:dyDescent="0.15">
      <c r="A3" s="7" t="s">
        <v>62</v>
      </c>
      <c r="B3" s="7">
        <v>11</v>
      </c>
      <c r="C3" s="16">
        <v>65.28</v>
      </c>
      <c r="D3" s="16">
        <v>6.31</v>
      </c>
      <c r="E3" s="16">
        <f>(C3-D3)/D3</f>
        <v>9.3454833597464351</v>
      </c>
      <c r="F3" s="8" t="s">
        <v>1</v>
      </c>
      <c r="H3" s="15"/>
    </row>
    <row r="4" spans="1:8" ht="14.25" x14ac:dyDescent="0.15">
      <c r="A4" s="7" t="s">
        <v>63</v>
      </c>
      <c r="B4" s="7">
        <v>24</v>
      </c>
      <c r="C4" s="16">
        <v>70.28</v>
      </c>
      <c r="D4" s="16">
        <v>10.963000000000001</v>
      </c>
      <c r="E4" s="16">
        <f t="shared" ref="E4:E67" si="0">(C4-D4)/D4</f>
        <v>5.4106540180607494</v>
      </c>
      <c r="F4" s="8" t="s">
        <v>1</v>
      </c>
      <c r="H4" s="15"/>
    </row>
    <row r="5" spans="1:8" ht="14.25" x14ac:dyDescent="0.15">
      <c r="A5" s="7" t="s">
        <v>64</v>
      </c>
      <c r="B5" s="7">
        <v>26</v>
      </c>
      <c r="C5" s="16">
        <v>62.019999999999996</v>
      </c>
      <c r="D5" s="16">
        <v>11.907</v>
      </c>
      <c r="E5" s="16">
        <f t="shared" si="0"/>
        <v>4.2087007642563199</v>
      </c>
      <c r="F5" s="8" t="s">
        <v>1</v>
      </c>
      <c r="H5" s="15"/>
    </row>
    <row r="6" spans="1:8" ht="14.25" x14ac:dyDescent="0.15">
      <c r="A6" s="7" t="s">
        <v>65</v>
      </c>
      <c r="B6" s="7">
        <v>25</v>
      </c>
      <c r="C6" s="16">
        <v>72.3</v>
      </c>
      <c r="D6" s="16">
        <v>10.459</v>
      </c>
      <c r="E6" s="16">
        <f t="shared" si="0"/>
        <v>5.9127067597284633</v>
      </c>
      <c r="F6" s="8" t="s">
        <v>1</v>
      </c>
      <c r="H6" s="15"/>
    </row>
    <row r="7" spans="1:8" ht="14.25" x14ac:dyDescent="0.15">
      <c r="A7" s="7" t="s">
        <v>66</v>
      </c>
      <c r="B7" s="7">
        <v>29</v>
      </c>
      <c r="C7" s="16">
        <v>62.55</v>
      </c>
      <c r="D7" s="16">
        <v>11.624000000000001</v>
      </c>
      <c r="E7" s="16">
        <f t="shared" si="0"/>
        <v>4.3811080523055743</v>
      </c>
      <c r="F7" s="8" t="s">
        <v>1</v>
      </c>
      <c r="H7" s="15"/>
    </row>
    <row r="8" spans="1:8" ht="14.25" x14ac:dyDescent="0.15">
      <c r="A8" s="7" t="s">
        <v>67</v>
      </c>
      <c r="B8" s="7">
        <v>230</v>
      </c>
      <c r="C8" s="16">
        <v>317.82</v>
      </c>
      <c r="D8" s="16">
        <v>84.715000000000003</v>
      </c>
      <c r="E8" s="16">
        <f t="shared" si="0"/>
        <v>2.7516378445375671</v>
      </c>
      <c r="F8" s="8" t="s">
        <v>1</v>
      </c>
      <c r="H8" s="15"/>
    </row>
    <row r="9" spans="1:8" ht="14.25" x14ac:dyDescent="0.15">
      <c r="A9" s="7" t="s">
        <v>68</v>
      </c>
      <c r="B9" s="7">
        <v>266</v>
      </c>
      <c r="C9" s="16">
        <v>327.34000000000003</v>
      </c>
      <c r="D9" s="16">
        <v>99.692999999999998</v>
      </c>
      <c r="E9" s="16">
        <f t="shared" si="0"/>
        <v>2.2834802844733337</v>
      </c>
      <c r="F9" s="8" t="s">
        <v>1</v>
      </c>
      <c r="H9" s="15"/>
    </row>
    <row r="10" spans="1:8" ht="14.25" x14ac:dyDescent="0.15">
      <c r="A10" s="7" t="s">
        <v>69</v>
      </c>
      <c r="B10" s="7">
        <v>11</v>
      </c>
      <c r="C10" s="16">
        <v>90.550000000000011</v>
      </c>
      <c r="D10" s="16">
        <v>6.7359999999999998</v>
      </c>
      <c r="E10" s="16">
        <f t="shared" si="0"/>
        <v>12.44269596199525</v>
      </c>
      <c r="F10" s="8" t="s">
        <v>1</v>
      </c>
      <c r="H10" s="15"/>
    </row>
    <row r="11" spans="1:8" ht="14.25" x14ac:dyDescent="0.15">
      <c r="A11" s="7" t="s">
        <v>70</v>
      </c>
      <c r="B11" s="7">
        <v>384</v>
      </c>
      <c r="C11" s="16">
        <v>181.39</v>
      </c>
      <c r="D11" s="16">
        <v>123.581</v>
      </c>
      <c r="E11" s="16">
        <f t="shared" si="0"/>
        <v>0.46778226426392394</v>
      </c>
      <c r="F11" s="8" t="s">
        <v>1</v>
      </c>
      <c r="H11" s="15"/>
    </row>
    <row r="12" spans="1:8" ht="14.25" x14ac:dyDescent="0.15">
      <c r="A12" s="7" t="s">
        <v>71</v>
      </c>
      <c r="B12" s="7">
        <v>210</v>
      </c>
      <c r="C12" s="16">
        <v>573.42000000000007</v>
      </c>
      <c r="D12" s="16">
        <v>78.341999999999999</v>
      </c>
      <c r="E12" s="16">
        <f t="shared" si="0"/>
        <v>6.3194455081565453</v>
      </c>
      <c r="F12" s="8" t="s">
        <v>1</v>
      </c>
      <c r="H12" s="15"/>
    </row>
    <row r="13" spans="1:8" ht="14.25" x14ac:dyDescent="0.15">
      <c r="A13" s="7" t="s">
        <v>155</v>
      </c>
      <c r="B13" s="7">
        <v>405</v>
      </c>
      <c r="C13" s="36">
        <v>210.73</v>
      </c>
      <c r="D13" s="32">
        <v>121.839</v>
      </c>
      <c r="E13" s="16">
        <f t="shared" si="0"/>
        <v>0.72957755726819817</v>
      </c>
      <c r="F13" s="8" t="s">
        <v>143</v>
      </c>
      <c r="H13" s="15"/>
    </row>
    <row r="14" spans="1:8" ht="14.25" x14ac:dyDescent="0.15">
      <c r="A14" s="7" t="s">
        <v>73</v>
      </c>
      <c r="B14" s="7">
        <v>303</v>
      </c>
      <c r="C14" s="16">
        <v>295.27</v>
      </c>
      <c r="D14" s="16">
        <v>101.402</v>
      </c>
      <c r="E14" s="16">
        <f t="shared" si="0"/>
        <v>1.9118755054140943</v>
      </c>
      <c r="F14" s="8" t="s">
        <v>1</v>
      </c>
      <c r="H14" s="15"/>
    </row>
    <row r="15" spans="1:8" ht="14.25" x14ac:dyDescent="0.15">
      <c r="A15" s="7" t="s">
        <v>74</v>
      </c>
      <c r="B15" s="7">
        <v>51</v>
      </c>
      <c r="C15" s="16">
        <v>83.15</v>
      </c>
      <c r="D15" s="16">
        <v>24.640999999999998</v>
      </c>
      <c r="E15" s="16">
        <f t="shared" si="0"/>
        <v>2.3744572054705575</v>
      </c>
      <c r="F15" s="8" t="s">
        <v>1</v>
      </c>
      <c r="H15" s="15"/>
    </row>
    <row r="16" spans="1:8" ht="14.25" x14ac:dyDescent="0.15">
      <c r="A16" s="7" t="s">
        <v>75</v>
      </c>
      <c r="B16" s="7">
        <v>151</v>
      </c>
      <c r="C16" s="16">
        <v>204.53</v>
      </c>
      <c r="D16" s="16">
        <v>58.352000000000004</v>
      </c>
      <c r="E16" s="16">
        <f t="shared" si="0"/>
        <v>2.5051069372086645</v>
      </c>
      <c r="F16" s="8" t="s">
        <v>1</v>
      </c>
      <c r="H16" s="15"/>
    </row>
    <row r="17" spans="1:8" ht="14.25" x14ac:dyDescent="0.15">
      <c r="A17" s="7" t="s">
        <v>76</v>
      </c>
      <c r="B17" s="7">
        <v>135</v>
      </c>
      <c r="C17" s="16">
        <v>569.89</v>
      </c>
      <c r="D17" s="16">
        <v>46.820999999999998</v>
      </c>
      <c r="E17" s="16">
        <f t="shared" si="0"/>
        <v>11.171675103052049</v>
      </c>
      <c r="F17" s="8" t="s">
        <v>1</v>
      </c>
      <c r="H17" s="15"/>
    </row>
    <row r="18" spans="1:8" ht="14.25" x14ac:dyDescent="0.15">
      <c r="A18" s="7" t="s">
        <v>77</v>
      </c>
      <c r="B18" s="7">
        <v>12</v>
      </c>
      <c r="C18" s="16">
        <v>90.2</v>
      </c>
      <c r="D18" s="16">
        <v>6.468</v>
      </c>
      <c r="E18" s="16">
        <f t="shared" si="0"/>
        <v>12.945578231292517</v>
      </c>
      <c r="F18" s="8" t="s">
        <v>1</v>
      </c>
      <c r="H18" s="15"/>
    </row>
    <row r="19" spans="1:8" ht="14.25" x14ac:dyDescent="0.15">
      <c r="A19" s="7" t="s">
        <v>36</v>
      </c>
      <c r="B19" s="7">
        <v>15</v>
      </c>
      <c r="C19" s="16">
        <v>105.53999999999999</v>
      </c>
      <c r="D19" s="16">
        <v>62.88</v>
      </c>
      <c r="E19" s="16">
        <f t="shared" si="0"/>
        <v>0.67843511450381655</v>
      </c>
      <c r="F19" s="8" t="s">
        <v>1</v>
      </c>
      <c r="H19" s="15"/>
    </row>
    <row r="20" spans="1:8" ht="14.25" x14ac:dyDescent="0.15">
      <c r="A20" s="7" t="s">
        <v>78</v>
      </c>
      <c r="B20" s="7">
        <v>10</v>
      </c>
      <c r="C20" s="16">
        <v>60.970000000000006</v>
      </c>
      <c r="D20" s="16">
        <v>6.8029999999999999</v>
      </c>
      <c r="E20" s="16">
        <f t="shared" si="0"/>
        <v>7.9622225488754976</v>
      </c>
      <c r="F20" s="8" t="s">
        <v>1</v>
      </c>
      <c r="H20" s="15"/>
    </row>
    <row r="21" spans="1:8" ht="14.25" x14ac:dyDescent="0.15">
      <c r="A21" s="7" t="s">
        <v>79</v>
      </c>
      <c r="B21" s="7">
        <v>10</v>
      </c>
      <c r="C21" s="16">
        <v>64.72999999999999</v>
      </c>
      <c r="D21" s="16">
        <v>6.4359999999999999</v>
      </c>
      <c r="E21" s="16">
        <f t="shared" si="0"/>
        <v>9.0574891236793018</v>
      </c>
      <c r="F21" s="8" t="s">
        <v>1</v>
      </c>
      <c r="H21" s="15"/>
    </row>
    <row r="22" spans="1:8" ht="14.25" x14ac:dyDescent="0.15">
      <c r="A22" s="7" t="s">
        <v>80</v>
      </c>
      <c r="B22" s="7">
        <v>11</v>
      </c>
      <c r="C22" s="16">
        <v>63.13</v>
      </c>
      <c r="D22" s="16">
        <v>5.4960000000000004</v>
      </c>
      <c r="E22" s="16">
        <f t="shared" si="0"/>
        <v>10.486535662299854</v>
      </c>
      <c r="F22" s="8" t="s">
        <v>1</v>
      </c>
      <c r="H22" s="15"/>
    </row>
    <row r="23" spans="1:8" ht="14.25" x14ac:dyDescent="0.15">
      <c r="A23" s="7" t="s">
        <v>81</v>
      </c>
      <c r="B23" s="7">
        <v>10</v>
      </c>
      <c r="C23" s="16">
        <v>64.790000000000006</v>
      </c>
      <c r="D23" s="16">
        <v>6.3550000000000004</v>
      </c>
      <c r="E23" s="16">
        <f t="shared" si="0"/>
        <v>9.1951219512195124</v>
      </c>
      <c r="F23" s="8" t="s">
        <v>1</v>
      </c>
      <c r="H23" s="15"/>
    </row>
    <row r="24" spans="1:8" ht="14.25" x14ac:dyDescent="0.15">
      <c r="A24" s="33" t="s">
        <v>142</v>
      </c>
      <c r="B24" s="7">
        <v>13</v>
      </c>
      <c r="C24" s="16">
        <v>80.61999999999999</v>
      </c>
      <c r="D24" s="16">
        <v>11.11</v>
      </c>
      <c r="E24" s="16">
        <f t="shared" si="0"/>
        <v>6.2565256525652559</v>
      </c>
      <c r="F24" s="8" t="s">
        <v>1</v>
      </c>
      <c r="H24" s="15"/>
    </row>
    <row r="25" spans="1:8" ht="14.25" x14ac:dyDescent="0.15">
      <c r="A25" s="7" t="s">
        <v>83</v>
      </c>
      <c r="B25" s="7">
        <v>28</v>
      </c>
      <c r="C25" s="16">
        <v>113.24</v>
      </c>
      <c r="D25" s="16">
        <v>18.37</v>
      </c>
      <c r="E25" s="16">
        <f t="shared" si="0"/>
        <v>5.1643984757757204</v>
      </c>
      <c r="F25" s="8" t="s">
        <v>1</v>
      </c>
      <c r="H25" s="15"/>
    </row>
    <row r="26" spans="1:8" ht="14.25" x14ac:dyDescent="0.15">
      <c r="A26" s="7" t="s">
        <v>84</v>
      </c>
      <c r="B26" s="7">
        <v>16</v>
      </c>
      <c r="C26" s="16">
        <v>59.62</v>
      </c>
      <c r="D26" s="16">
        <v>7.0089999999999995</v>
      </c>
      <c r="E26" s="16">
        <f t="shared" si="0"/>
        <v>7.5062063061777717</v>
      </c>
      <c r="F26" s="8" t="s">
        <v>1</v>
      </c>
      <c r="H26" s="15"/>
    </row>
    <row r="27" spans="1:8" ht="14.25" x14ac:dyDescent="0.15">
      <c r="A27" s="7" t="s">
        <v>85</v>
      </c>
      <c r="B27" s="7">
        <v>14</v>
      </c>
      <c r="C27" s="16">
        <v>66.17</v>
      </c>
      <c r="D27" s="16">
        <v>7.4749999999999996</v>
      </c>
      <c r="E27" s="16">
        <f t="shared" si="0"/>
        <v>7.8521739130434787</v>
      </c>
      <c r="F27" s="8" t="s">
        <v>1</v>
      </c>
      <c r="H27" s="15"/>
    </row>
    <row r="28" spans="1:8" ht="14.25" x14ac:dyDescent="0.15">
      <c r="A28" s="7" t="s">
        <v>86</v>
      </c>
      <c r="B28" s="7">
        <v>32</v>
      </c>
      <c r="C28" s="16">
        <v>105.17</v>
      </c>
      <c r="D28" s="16">
        <v>11.225999999999999</v>
      </c>
      <c r="E28" s="16">
        <f t="shared" si="0"/>
        <v>8.3684304293604139</v>
      </c>
      <c r="F28" s="8" t="s">
        <v>1</v>
      </c>
      <c r="H28" s="15"/>
    </row>
    <row r="29" spans="1:8" ht="14.25" x14ac:dyDescent="0.15">
      <c r="A29" s="7" t="s">
        <v>87</v>
      </c>
      <c r="B29" s="7">
        <v>59</v>
      </c>
      <c r="C29" s="16">
        <v>126.75</v>
      </c>
      <c r="D29" s="16">
        <v>26.963000000000001</v>
      </c>
      <c r="E29" s="16">
        <f t="shared" si="0"/>
        <v>3.7008863998813188</v>
      </c>
      <c r="F29" s="8" t="s">
        <v>1</v>
      </c>
      <c r="H29" s="15"/>
    </row>
    <row r="30" spans="1:8" ht="14.25" x14ac:dyDescent="0.15">
      <c r="A30" s="7" t="s">
        <v>88</v>
      </c>
      <c r="B30" s="7">
        <v>53</v>
      </c>
      <c r="C30" s="16">
        <v>91.03</v>
      </c>
      <c r="D30" s="16">
        <v>16.122</v>
      </c>
      <c r="E30" s="16">
        <f t="shared" si="0"/>
        <v>4.6463217963031882</v>
      </c>
      <c r="F30" s="8" t="s">
        <v>1</v>
      </c>
      <c r="H30" s="15"/>
    </row>
    <row r="31" spans="1:8" ht="14.25" x14ac:dyDescent="0.15">
      <c r="A31" s="7" t="s">
        <v>89</v>
      </c>
      <c r="B31" s="7">
        <v>17</v>
      </c>
      <c r="C31" s="16">
        <v>90.88</v>
      </c>
      <c r="D31" s="16">
        <v>12.923999999999999</v>
      </c>
      <c r="E31" s="16">
        <f t="shared" si="0"/>
        <v>6.031878675332714</v>
      </c>
      <c r="F31" s="8" t="s">
        <v>1</v>
      </c>
      <c r="H31" s="15"/>
    </row>
    <row r="32" spans="1:8" ht="14.25" x14ac:dyDescent="0.15">
      <c r="A32" s="7" t="s">
        <v>90</v>
      </c>
      <c r="B32" s="7">
        <v>15</v>
      </c>
      <c r="C32" s="16">
        <v>69.62</v>
      </c>
      <c r="D32" s="16">
        <v>7.5579999999999998</v>
      </c>
      <c r="E32" s="16">
        <f t="shared" si="0"/>
        <v>8.211431595660228</v>
      </c>
      <c r="F32" s="8" t="s">
        <v>1</v>
      </c>
      <c r="H32" s="15"/>
    </row>
    <row r="33" spans="1:8" ht="14.25" x14ac:dyDescent="0.15">
      <c r="A33" s="7" t="s">
        <v>91</v>
      </c>
      <c r="B33" s="7">
        <v>24</v>
      </c>
      <c r="C33" s="16">
        <v>82.8</v>
      </c>
      <c r="D33" s="16">
        <v>10.324</v>
      </c>
      <c r="E33" s="16">
        <f t="shared" si="0"/>
        <v>7.0201472297559082</v>
      </c>
      <c r="F33" s="8" t="s">
        <v>1</v>
      </c>
      <c r="H33" s="15"/>
    </row>
    <row r="34" spans="1:8" ht="14.25" x14ac:dyDescent="0.15">
      <c r="A34" s="7" t="s">
        <v>92</v>
      </c>
      <c r="B34" s="7">
        <v>21</v>
      </c>
      <c r="C34" s="16">
        <v>71.95</v>
      </c>
      <c r="D34" s="16">
        <v>10.165000000000001</v>
      </c>
      <c r="E34" s="16">
        <f t="shared" si="0"/>
        <v>6.0782095425479588</v>
      </c>
      <c r="F34" s="8" t="s">
        <v>1</v>
      </c>
      <c r="H34" s="15"/>
    </row>
    <row r="35" spans="1:8" ht="14.25" x14ac:dyDescent="0.15">
      <c r="A35" s="7" t="s">
        <v>93</v>
      </c>
      <c r="B35" s="7">
        <v>102</v>
      </c>
      <c r="C35" s="16">
        <v>179.79999999999998</v>
      </c>
      <c r="D35" s="16">
        <v>19.755000000000003</v>
      </c>
      <c r="E35" s="16">
        <f t="shared" si="0"/>
        <v>8.1014932928372545</v>
      </c>
      <c r="F35" s="8" t="s">
        <v>1</v>
      </c>
      <c r="H35" s="15"/>
    </row>
    <row r="36" spans="1:8" ht="14.25" x14ac:dyDescent="0.15">
      <c r="A36" s="7" t="s">
        <v>94</v>
      </c>
      <c r="B36" s="7">
        <v>32</v>
      </c>
      <c r="C36" s="16">
        <v>96.69</v>
      </c>
      <c r="D36" s="16">
        <v>21.141000000000002</v>
      </c>
      <c r="E36" s="16">
        <f t="shared" si="0"/>
        <v>3.5735774088264503</v>
      </c>
      <c r="F36" s="8" t="s">
        <v>1</v>
      </c>
      <c r="H36" s="15"/>
    </row>
    <row r="37" spans="1:8" ht="14.25" x14ac:dyDescent="0.15">
      <c r="A37" s="7" t="s">
        <v>95</v>
      </c>
      <c r="B37" s="7">
        <v>521</v>
      </c>
      <c r="C37" s="16">
        <v>585.59</v>
      </c>
      <c r="D37" s="16">
        <v>175.66799999999998</v>
      </c>
      <c r="E37" s="16">
        <f t="shared" si="0"/>
        <v>2.3335041100257308</v>
      </c>
      <c r="F37" s="8" t="s">
        <v>1</v>
      </c>
      <c r="H37" s="15"/>
    </row>
    <row r="38" spans="1:8" ht="14.25" x14ac:dyDescent="0.15">
      <c r="A38" s="7" t="s">
        <v>96</v>
      </c>
      <c r="B38" s="7">
        <v>65</v>
      </c>
      <c r="C38" s="16">
        <v>89.12</v>
      </c>
      <c r="D38" s="16">
        <v>26.322000000000003</v>
      </c>
      <c r="E38" s="16">
        <f t="shared" si="0"/>
        <v>2.3857609604133421</v>
      </c>
      <c r="F38" s="8" t="s">
        <v>1</v>
      </c>
      <c r="H38" s="15"/>
    </row>
    <row r="39" spans="1:8" ht="14.25" x14ac:dyDescent="0.15">
      <c r="A39" s="7" t="s">
        <v>97</v>
      </c>
      <c r="B39" s="7">
        <v>20</v>
      </c>
      <c r="C39" s="16">
        <v>76.17</v>
      </c>
      <c r="D39" s="16">
        <v>10.515000000000001</v>
      </c>
      <c r="E39" s="16">
        <f t="shared" si="0"/>
        <v>6.2439372325249645</v>
      </c>
      <c r="F39" s="8" t="s">
        <v>1</v>
      </c>
      <c r="H39" s="15"/>
    </row>
    <row r="40" spans="1:8" ht="14.25" x14ac:dyDescent="0.15">
      <c r="A40" s="7" t="s">
        <v>98</v>
      </c>
      <c r="B40" s="7">
        <v>15</v>
      </c>
      <c r="C40" s="16">
        <v>73.989999999999995</v>
      </c>
      <c r="D40" s="16">
        <v>11.116</v>
      </c>
      <c r="E40" s="16">
        <f t="shared" si="0"/>
        <v>5.6561712846347607</v>
      </c>
      <c r="F40" s="8" t="s">
        <v>1</v>
      </c>
      <c r="H40" s="15"/>
    </row>
    <row r="41" spans="1:8" ht="14.25" x14ac:dyDescent="0.15">
      <c r="A41" s="7" t="s">
        <v>99</v>
      </c>
      <c r="B41" s="7">
        <v>159</v>
      </c>
      <c r="C41" s="16">
        <v>685.49</v>
      </c>
      <c r="D41" s="16">
        <v>72.801000000000002</v>
      </c>
      <c r="E41" s="16">
        <f t="shared" si="0"/>
        <v>8.4159420887075722</v>
      </c>
      <c r="F41" s="8" t="s">
        <v>1</v>
      </c>
      <c r="H41" s="15"/>
    </row>
    <row r="42" spans="1:8" ht="14.25" x14ac:dyDescent="0.15">
      <c r="A42" s="7" t="s">
        <v>100</v>
      </c>
      <c r="B42" s="7">
        <v>31</v>
      </c>
      <c r="C42" s="16">
        <v>82.91</v>
      </c>
      <c r="D42" s="16">
        <v>16.058</v>
      </c>
      <c r="E42" s="16">
        <f t="shared" si="0"/>
        <v>4.163158550255325</v>
      </c>
      <c r="F42" s="8" t="s">
        <v>1</v>
      </c>
      <c r="H42" s="15"/>
    </row>
    <row r="43" spans="1:8" ht="14.25" x14ac:dyDescent="0.15">
      <c r="A43" s="7" t="s">
        <v>101</v>
      </c>
      <c r="B43" s="7">
        <v>60</v>
      </c>
      <c r="C43" s="16">
        <v>106.13</v>
      </c>
      <c r="D43" s="16">
        <v>60.436</v>
      </c>
      <c r="E43" s="16">
        <f t="shared" si="0"/>
        <v>0.75607253954596587</v>
      </c>
      <c r="F43" s="8" t="s">
        <v>1</v>
      </c>
      <c r="H43" s="15"/>
    </row>
    <row r="44" spans="1:8" ht="14.25" x14ac:dyDescent="0.15">
      <c r="A44" s="7" t="s">
        <v>102</v>
      </c>
      <c r="B44" s="7">
        <v>19</v>
      </c>
      <c r="C44" s="16">
        <v>71.31</v>
      </c>
      <c r="D44" s="16">
        <v>6.2389999999999999</v>
      </c>
      <c r="E44" s="16">
        <f t="shared" si="0"/>
        <v>10.429716300689213</v>
      </c>
      <c r="F44" s="8" t="s">
        <v>1</v>
      </c>
      <c r="H44" s="15"/>
    </row>
    <row r="45" spans="1:8" ht="14.25" x14ac:dyDescent="0.15">
      <c r="A45" s="7" t="s">
        <v>103</v>
      </c>
      <c r="B45" s="7">
        <v>50</v>
      </c>
      <c r="C45" s="16">
        <v>102.55</v>
      </c>
      <c r="D45" s="16">
        <v>30.099999999999998</v>
      </c>
      <c r="E45" s="16">
        <f t="shared" si="0"/>
        <v>2.4069767441860468</v>
      </c>
      <c r="F45" s="8" t="s">
        <v>1</v>
      </c>
      <c r="H45" s="15"/>
    </row>
    <row r="46" spans="1:8" ht="14.25" x14ac:dyDescent="0.15">
      <c r="A46" s="7" t="s">
        <v>104</v>
      </c>
      <c r="B46" s="7">
        <v>42</v>
      </c>
      <c r="C46" s="16">
        <v>131.11000000000001</v>
      </c>
      <c r="D46" s="16">
        <v>29.593999999999998</v>
      </c>
      <c r="E46" s="16">
        <f t="shared" si="0"/>
        <v>3.4302899236331696</v>
      </c>
      <c r="F46" s="8" t="s">
        <v>1</v>
      </c>
      <c r="H46" s="15"/>
    </row>
    <row r="47" spans="1:8" ht="14.25" x14ac:dyDescent="0.15">
      <c r="A47" s="7" t="s">
        <v>105</v>
      </c>
      <c r="B47" s="7">
        <v>309</v>
      </c>
      <c r="C47" s="16">
        <v>306.08000000000004</v>
      </c>
      <c r="D47" s="16">
        <v>101.15599999999999</v>
      </c>
      <c r="E47" s="16">
        <f t="shared" si="0"/>
        <v>2.0258215034204601</v>
      </c>
      <c r="F47" s="8" t="s">
        <v>1</v>
      </c>
      <c r="H47" s="15"/>
    </row>
    <row r="48" spans="1:8" ht="14.25" x14ac:dyDescent="0.15">
      <c r="A48" s="7" t="s">
        <v>106</v>
      </c>
      <c r="B48" s="7">
        <v>17</v>
      </c>
      <c r="C48" s="16">
        <v>92.77000000000001</v>
      </c>
      <c r="D48" s="16">
        <v>11.398999999999999</v>
      </c>
      <c r="E48" s="16">
        <f t="shared" si="0"/>
        <v>7.1384331958943781</v>
      </c>
      <c r="F48" s="8" t="s">
        <v>1</v>
      </c>
      <c r="H48" s="15"/>
    </row>
    <row r="49" spans="1:8" ht="14.25" x14ac:dyDescent="0.15">
      <c r="A49" s="7" t="s">
        <v>107</v>
      </c>
      <c r="B49" s="7">
        <v>19</v>
      </c>
      <c r="C49" s="16">
        <v>78.460000000000008</v>
      </c>
      <c r="D49" s="16">
        <v>13.301</v>
      </c>
      <c r="E49" s="16">
        <f t="shared" si="0"/>
        <v>4.8988046011578081</v>
      </c>
      <c r="F49" s="8" t="s">
        <v>1</v>
      </c>
      <c r="H49" s="15"/>
    </row>
    <row r="50" spans="1:8" ht="14.25" x14ac:dyDescent="0.15">
      <c r="A50" s="7" t="s">
        <v>108</v>
      </c>
      <c r="B50" s="7">
        <v>16</v>
      </c>
      <c r="C50" s="16">
        <v>64.69</v>
      </c>
      <c r="D50" s="16">
        <v>7.7470000000000008</v>
      </c>
      <c r="E50" s="16">
        <f t="shared" si="0"/>
        <v>7.350329159674712</v>
      </c>
      <c r="F50" s="8" t="s">
        <v>1</v>
      </c>
      <c r="H50" s="15"/>
    </row>
    <row r="51" spans="1:8" ht="14.25" x14ac:dyDescent="0.15">
      <c r="A51" s="7" t="s">
        <v>109</v>
      </c>
      <c r="B51" s="7">
        <v>11</v>
      </c>
      <c r="C51" s="16">
        <v>67.05</v>
      </c>
      <c r="D51" s="16">
        <v>6.6829999999999998</v>
      </c>
      <c r="E51" s="16">
        <f t="shared" si="0"/>
        <v>9.0329193475983836</v>
      </c>
      <c r="F51" s="8" t="s">
        <v>1</v>
      </c>
      <c r="H51" s="15"/>
    </row>
    <row r="52" spans="1:8" ht="14.25" x14ac:dyDescent="0.15">
      <c r="A52" s="7" t="s">
        <v>110</v>
      </c>
      <c r="B52" s="7">
        <v>23</v>
      </c>
      <c r="C52" s="16">
        <v>69.88</v>
      </c>
      <c r="D52" s="16">
        <v>16.306999999999999</v>
      </c>
      <c r="E52" s="16">
        <f t="shared" si="0"/>
        <v>3.2852762617280922</v>
      </c>
      <c r="F52" s="8" t="s">
        <v>1</v>
      </c>
      <c r="H52" s="15"/>
    </row>
    <row r="53" spans="1:8" ht="14.25" x14ac:dyDescent="0.15">
      <c r="A53" s="7" t="s">
        <v>111</v>
      </c>
      <c r="B53" s="7">
        <v>49</v>
      </c>
      <c r="C53" s="16">
        <v>542.35</v>
      </c>
      <c r="D53" s="16">
        <v>23.605999999999998</v>
      </c>
      <c r="E53" s="16">
        <f t="shared" si="0"/>
        <v>21.975091078539357</v>
      </c>
      <c r="F53" s="8" t="s">
        <v>1</v>
      </c>
      <c r="H53" s="15"/>
    </row>
    <row r="54" spans="1:8" ht="14.25" x14ac:dyDescent="0.15">
      <c r="A54" s="7" t="s">
        <v>112</v>
      </c>
      <c r="B54" s="7">
        <v>27</v>
      </c>
      <c r="C54" s="16">
        <v>94.960000000000008</v>
      </c>
      <c r="D54" s="16">
        <v>17.753</v>
      </c>
      <c r="E54" s="16">
        <f t="shared" si="0"/>
        <v>4.348955106179238</v>
      </c>
      <c r="F54" s="8" t="s">
        <v>1</v>
      </c>
      <c r="H54" s="15"/>
    </row>
    <row r="55" spans="1:8" ht="14.25" x14ac:dyDescent="0.15">
      <c r="A55" s="7" t="s">
        <v>113</v>
      </c>
      <c r="B55" s="7">
        <v>11</v>
      </c>
      <c r="C55" s="16">
        <v>73.7</v>
      </c>
      <c r="D55" s="16">
        <v>5.1720000000000006</v>
      </c>
      <c r="E55" s="16">
        <f t="shared" si="0"/>
        <v>13.249806651198762</v>
      </c>
      <c r="F55" s="8" t="s">
        <v>1</v>
      </c>
      <c r="H55" s="15"/>
    </row>
    <row r="56" spans="1:8" ht="14.25" x14ac:dyDescent="0.15">
      <c r="A56" s="7" t="s">
        <v>114</v>
      </c>
      <c r="B56" s="7">
        <v>17</v>
      </c>
      <c r="C56" s="16">
        <v>75.069999999999993</v>
      </c>
      <c r="D56" s="16">
        <v>5.4339999999999993</v>
      </c>
      <c r="E56" s="16">
        <f t="shared" si="0"/>
        <v>12.814869341185132</v>
      </c>
      <c r="F56" s="8" t="s">
        <v>1</v>
      </c>
      <c r="H56" s="15"/>
    </row>
    <row r="57" spans="1:8" ht="14.25" x14ac:dyDescent="0.15">
      <c r="A57" s="7" t="s">
        <v>115</v>
      </c>
      <c r="B57" s="7">
        <v>24</v>
      </c>
      <c r="C57" s="16">
        <v>89.53</v>
      </c>
      <c r="D57" s="16">
        <v>10.708</v>
      </c>
      <c r="E57" s="16">
        <f t="shared" si="0"/>
        <v>7.3610384759058647</v>
      </c>
      <c r="F57" s="8" t="s">
        <v>1</v>
      </c>
      <c r="H57" s="15"/>
    </row>
    <row r="58" spans="1:8" ht="14.25" x14ac:dyDescent="0.15">
      <c r="A58" s="7" t="s">
        <v>116</v>
      </c>
      <c r="B58" s="7">
        <v>28</v>
      </c>
      <c r="C58" s="16">
        <v>74.300000000000011</v>
      </c>
      <c r="D58" s="16">
        <v>12.237</v>
      </c>
      <c r="E58" s="16">
        <f t="shared" si="0"/>
        <v>5.0717496118329661</v>
      </c>
      <c r="F58" s="8" t="s">
        <v>1</v>
      </c>
      <c r="H58" s="15"/>
    </row>
    <row r="59" spans="1:8" ht="14.25" x14ac:dyDescent="0.15">
      <c r="A59" s="7" t="s">
        <v>117</v>
      </c>
      <c r="B59" s="7">
        <v>39</v>
      </c>
      <c r="C59" s="16">
        <v>69.430000000000007</v>
      </c>
      <c r="D59" s="16">
        <v>11.270000000000001</v>
      </c>
      <c r="E59" s="16">
        <f t="shared" si="0"/>
        <v>5.1606033717834956</v>
      </c>
      <c r="F59" s="8" t="s">
        <v>1</v>
      </c>
      <c r="H59" s="15"/>
    </row>
    <row r="60" spans="1:8" ht="14.25" x14ac:dyDescent="0.15">
      <c r="A60" s="7" t="s">
        <v>118</v>
      </c>
      <c r="B60" s="7">
        <v>38</v>
      </c>
      <c r="C60" s="16">
        <v>101.78</v>
      </c>
      <c r="D60" s="16">
        <v>25.864000000000001</v>
      </c>
      <c r="E60" s="16">
        <f t="shared" si="0"/>
        <v>2.9351995051036188</v>
      </c>
      <c r="F60" s="8" t="s">
        <v>1</v>
      </c>
      <c r="H60" s="15"/>
    </row>
    <row r="61" spans="1:8" ht="14.25" x14ac:dyDescent="0.15">
      <c r="A61" s="7" t="s">
        <v>119</v>
      </c>
      <c r="B61" s="7">
        <v>56</v>
      </c>
      <c r="C61" s="16">
        <v>116.07000000000001</v>
      </c>
      <c r="D61" s="16">
        <v>40.662999999999997</v>
      </c>
      <c r="E61" s="16">
        <f t="shared" si="0"/>
        <v>1.8544376952020267</v>
      </c>
      <c r="F61" s="8" t="s">
        <v>1</v>
      </c>
      <c r="H61" s="15"/>
    </row>
    <row r="62" spans="1:8" ht="14.25" x14ac:dyDescent="0.15">
      <c r="A62" s="7" t="s">
        <v>38</v>
      </c>
      <c r="B62" s="7">
        <v>33</v>
      </c>
      <c r="C62" s="16">
        <v>114.76</v>
      </c>
      <c r="D62" s="16">
        <v>19.154999999999998</v>
      </c>
      <c r="E62" s="16">
        <f t="shared" si="0"/>
        <v>4.991125032628557</v>
      </c>
      <c r="F62" s="8" t="s">
        <v>1</v>
      </c>
      <c r="H62" s="15"/>
    </row>
    <row r="63" spans="1:8" ht="14.25" x14ac:dyDescent="0.15">
      <c r="A63" s="7" t="s">
        <v>120</v>
      </c>
      <c r="B63" s="7">
        <v>28</v>
      </c>
      <c r="C63" s="16">
        <v>102.2</v>
      </c>
      <c r="D63" s="16">
        <v>9.234</v>
      </c>
      <c r="E63" s="16">
        <f t="shared" si="0"/>
        <v>10.06779293913797</v>
      </c>
      <c r="F63" s="8" t="s">
        <v>1</v>
      </c>
      <c r="H63" s="15"/>
    </row>
    <row r="64" spans="1:8" ht="14.25" x14ac:dyDescent="0.15">
      <c r="A64" s="7" t="s">
        <v>121</v>
      </c>
      <c r="B64" s="7">
        <v>32</v>
      </c>
      <c r="C64" s="16">
        <v>89.7</v>
      </c>
      <c r="D64" s="16">
        <v>12.5</v>
      </c>
      <c r="E64" s="16">
        <f t="shared" si="0"/>
        <v>6.1760000000000002</v>
      </c>
      <c r="F64" s="8" t="s">
        <v>1</v>
      </c>
      <c r="H64" s="15"/>
    </row>
    <row r="65" spans="1:8" ht="14.25" x14ac:dyDescent="0.15">
      <c r="A65" s="7" t="s">
        <v>122</v>
      </c>
      <c r="B65" s="7">
        <v>29</v>
      </c>
      <c r="C65" s="16">
        <v>93.149999999999991</v>
      </c>
      <c r="D65" s="16">
        <v>15.526</v>
      </c>
      <c r="E65" s="16">
        <f t="shared" si="0"/>
        <v>4.9996135514620637</v>
      </c>
      <c r="F65" s="8" t="s">
        <v>1</v>
      </c>
      <c r="H65" s="15"/>
    </row>
    <row r="66" spans="1:8" ht="14.25" x14ac:dyDescent="0.15">
      <c r="A66" s="7" t="s">
        <v>123</v>
      </c>
      <c r="B66" s="7">
        <v>19</v>
      </c>
      <c r="C66" s="16">
        <v>86.62</v>
      </c>
      <c r="D66" s="16">
        <v>8.89</v>
      </c>
      <c r="E66" s="16">
        <f t="shared" si="0"/>
        <v>8.7435320584926881</v>
      </c>
      <c r="F66" s="8" t="s">
        <v>1</v>
      </c>
      <c r="H66" s="15"/>
    </row>
    <row r="67" spans="1:8" ht="14.25" x14ac:dyDescent="0.15">
      <c r="A67" s="7" t="s">
        <v>124</v>
      </c>
      <c r="B67" s="7">
        <v>17</v>
      </c>
      <c r="C67" s="16">
        <v>71.3</v>
      </c>
      <c r="D67" s="16">
        <v>28.074000000000002</v>
      </c>
      <c r="E67" s="16">
        <f t="shared" si="0"/>
        <v>1.5397164636318301</v>
      </c>
      <c r="F67" s="8" t="s">
        <v>1</v>
      </c>
      <c r="H67" s="15"/>
    </row>
    <row r="68" spans="1:8" ht="14.25" x14ac:dyDescent="0.15">
      <c r="A68" s="7" t="s">
        <v>125</v>
      </c>
      <c r="B68" s="7">
        <v>14</v>
      </c>
      <c r="C68" s="16">
        <v>67.900000000000006</v>
      </c>
      <c r="D68" s="16">
        <v>7.2859999999999996</v>
      </c>
      <c r="E68" s="16">
        <f t="shared" ref="E68:E79" si="1">(C68-D68)/D68</f>
        <v>8.3192423826516624</v>
      </c>
      <c r="F68" s="8" t="s">
        <v>1</v>
      </c>
      <c r="H68" s="15"/>
    </row>
    <row r="69" spans="1:8" ht="14.25" x14ac:dyDescent="0.15">
      <c r="A69" s="7" t="s">
        <v>126</v>
      </c>
      <c r="B69" s="7">
        <v>17</v>
      </c>
      <c r="C69" s="16">
        <v>73.209999999999994</v>
      </c>
      <c r="D69" s="16">
        <v>12.407</v>
      </c>
      <c r="E69" s="16">
        <f t="shared" si="1"/>
        <v>4.9007012170548885</v>
      </c>
      <c r="F69" s="8" t="s">
        <v>1</v>
      </c>
      <c r="H69" s="15"/>
    </row>
    <row r="70" spans="1:8" ht="14.25" x14ac:dyDescent="0.15">
      <c r="A70" s="7" t="s">
        <v>128</v>
      </c>
      <c r="B70" s="7">
        <v>108</v>
      </c>
      <c r="C70" s="16">
        <v>264.40000000000003</v>
      </c>
      <c r="D70" s="16">
        <v>122.40600000000001</v>
      </c>
      <c r="E70" s="16">
        <f t="shared" si="1"/>
        <v>1.1600248353838867</v>
      </c>
      <c r="F70" s="8" t="s">
        <v>1</v>
      </c>
      <c r="H70" s="15"/>
    </row>
    <row r="71" spans="1:8" ht="14.25" x14ac:dyDescent="0.15">
      <c r="A71" s="7" t="s">
        <v>129</v>
      </c>
      <c r="B71" s="7">
        <v>76</v>
      </c>
      <c r="C71" s="16">
        <v>87.42</v>
      </c>
      <c r="D71" s="16">
        <v>36.564999999999998</v>
      </c>
      <c r="E71" s="16">
        <f t="shared" si="1"/>
        <v>1.3908108847258309</v>
      </c>
      <c r="F71" s="8" t="s">
        <v>1</v>
      </c>
      <c r="H71" s="15"/>
    </row>
    <row r="72" spans="1:8" ht="14.25" x14ac:dyDescent="0.15">
      <c r="A72" s="7" t="s">
        <v>130</v>
      </c>
      <c r="B72" s="7">
        <v>40</v>
      </c>
      <c r="C72" s="16">
        <v>77.75</v>
      </c>
      <c r="D72" s="16">
        <v>12.164</v>
      </c>
      <c r="E72" s="16">
        <f t="shared" si="1"/>
        <v>5.3918119039789545</v>
      </c>
      <c r="F72" s="8" t="s">
        <v>1</v>
      </c>
      <c r="H72" s="15"/>
    </row>
    <row r="73" spans="1:8" ht="14.25" x14ac:dyDescent="0.15">
      <c r="A73" s="7" t="s">
        <v>131</v>
      </c>
      <c r="B73" s="7">
        <v>24</v>
      </c>
      <c r="C73" s="16">
        <v>68.69</v>
      </c>
      <c r="D73" s="16">
        <v>10.325000000000001</v>
      </c>
      <c r="E73" s="16">
        <f t="shared" si="1"/>
        <v>5.6527845036319606</v>
      </c>
      <c r="F73" s="8" t="s">
        <v>1</v>
      </c>
      <c r="H73" s="15"/>
    </row>
    <row r="74" spans="1:8" ht="14.25" x14ac:dyDescent="0.15">
      <c r="A74" s="7" t="s">
        <v>132</v>
      </c>
      <c r="B74" s="7">
        <v>98</v>
      </c>
      <c r="C74" s="16">
        <v>198.58</v>
      </c>
      <c r="D74" s="16">
        <v>59.829000000000001</v>
      </c>
      <c r="E74" s="16">
        <f t="shared" si="1"/>
        <v>2.3191261762690334</v>
      </c>
      <c r="F74" s="8" t="s">
        <v>1</v>
      </c>
      <c r="H74" s="15"/>
    </row>
    <row r="75" spans="1:8" ht="14.25" x14ac:dyDescent="0.15">
      <c r="A75" s="7" t="s">
        <v>133</v>
      </c>
      <c r="B75" s="7">
        <v>33</v>
      </c>
      <c r="C75" s="16">
        <v>75.61</v>
      </c>
      <c r="D75" s="16">
        <v>14.539</v>
      </c>
      <c r="E75" s="16">
        <f t="shared" si="1"/>
        <v>4.2004952197537655</v>
      </c>
      <c r="F75" s="8" t="s">
        <v>1</v>
      </c>
      <c r="H75" s="15"/>
    </row>
    <row r="76" spans="1:8" ht="14.25" x14ac:dyDescent="0.15">
      <c r="A76" s="7" t="s">
        <v>134</v>
      </c>
      <c r="B76" s="7">
        <v>42</v>
      </c>
      <c r="C76" s="16">
        <v>73.75</v>
      </c>
      <c r="D76" s="16">
        <v>13.597</v>
      </c>
      <c r="E76" s="16">
        <f t="shared" si="1"/>
        <v>4.4239905861587117</v>
      </c>
      <c r="F76" s="8" t="s">
        <v>1</v>
      </c>
      <c r="H76" s="15"/>
    </row>
    <row r="77" spans="1:8" ht="14.25" x14ac:dyDescent="0.15">
      <c r="A77" s="7" t="s">
        <v>135</v>
      </c>
      <c r="B77" s="7">
        <v>175</v>
      </c>
      <c r="C77" s="16">
        <v>251.76999999999998</v>
      </c>
      <c r="D77" s="16">
        <v>137.398</v>
      </c>
      <c r="E77" s="16">
        <f t="shared" si="1"/>
        <v>0.83241386337501266</v>
      </c>
      <c r="F77" s="8" t="s">
        <v>1</v>
      </c>
      <c r="H77" s="15"/>
    </row>
    <row r="78" spans="1:8" ht="14.25" x14ac:dyDescent="0.15">
      <c r="A78" s="7" t="s">
        <v>136</v>
      </c>
      <c r="B78" s="7">
        <v>46</v>
      </c>
      <c r="C78" s="16">
        <v>86.47</v>
      </c>
      <c r="D78" s="16">
        <v>32.717000000000006</v>
      </c>
      <c r="E78" s="16">
        <f t="shared" si="1"/>
        <v>1.6429684873307451</v>
      </c>
      <c r="F78" s="8" t="s">
        <v>1</v>
      </c>
      <c r="H78" s="15"/>
    </row>
    <row r="79" spans="1:8" ht="14.25" x14ac:dyDescent="0.15">
      <c r="A79" s="7" t="s">
        <v>137</v>
      </c>
      <c r="B79" s="7">
        <v>50</v>
      </c>
      <c r="C79" s="16">
        <v>77.72999999999999</v>
      </c>
      <c r="D79" s="16">
        <v>38.201999999999998</v>
      </c>
      <c r="E79" s="16">
        <f t="shared" si="1"/>
        <v>1.0347102245955708</v>
      </c>
      <c r="F79" s="8" t="s">
        <v>1</v>
      </c>
      <c r="H79" s="15"/>
    </row>
    <row r="80" spans="1:8" x14ac:dyDescent="0.15">
      <c r="A80" s="11" t="s">
        <v>51</v>
      </c>
      <c r="B80" s="17">
        <f>AVERAGE(B3:B79)</f>
        <v>68.857142857142861</v>
      </c>
      <c r="C80" s="16">
        <f>AVERAGE(C3:C79)</f>
        <v>139.63272727272729</v>
      </c>
      <c r="D80" s="16">
        <f>AVERAGE(D3:D79)</f>
        <v>31.310753246753258</v>
      </c>
      <c r="E80" s="16">
        <f>AVERAGE(E14:E79)</f>
        <v>5.8077561071570765</v>
      </c>
      <c r="F80" s="34"/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15" sqref="C15"/>
    </sheetView>
  </sheetViews>
  <sheetFormatPr defaultRowHeight="13.5" x14ac:dyDescent="0.15"/>
  <cols>
    <col min="1" max="1" width="22.25" customWidth="1"/>
    <col min="2" max="2" width="9.5" bestFit="1" customWidth="1"/>
  </cols>
  <sheetData>
    <row r="1" spans="1:8" x14ac:dyDescent="0.15">
      <c r="A1" s="45" t="s">
        <v>151</v>
      </c>
      <c r="B1" s="44" t="s">
        <v>150</v>
      </c>
      <c r="C1" s="44" t="s">
        <v>50</v>
      </c>
      <c r="D1" s="44"/>
      <c r="E1" s="44"/>
      <c r="F1" s="45" t="s">
        <v>40</v>
      </c>
    </row>
    <row r="2" spans="1:8" ht="14.25" x14ac:dyDescent="0.15">
      <c r="A2" s="45"/>
      <c r="B2" s="44"/>
      <c r="C2" s="12" t="s">
        <v>49</v>
      </c>
      <c r="D2" s="12" t="s">
        <v>41</v>
      </c>
      <c r="E2" s="12" t="s">
        <v>43</v>
      </c>
      <c r="F2" s="45"/>
      <c r="H2" s="38" t="s">
        <v>154</v>
      </c>
    </row>
    <row r="3" spans="1:8" ht="14.25" x14ac:dyDescent="0.15">
      <c r="A3" s="33" t="s">
        <v>146</v>
      </c>
      <c r="B3" s="16">
        <v>38.081081081081081</v>
      </c>
      <c r="C3" s="16">
        <v>12.184486486486488</v>
      </c>
      <c r="D3" s="16">
        <v>3.1256864864864866</v>
      </c>
      <c r="E3" s="16">
        <v>7.1632243694235029</v>
      </c>
      <c r="F3" s="8" t="s">
        <v>1</v>
      </c>
      <c r="H3" s="39">
        <v>37</v>
      </c>
    </row>
    <row r="4" spans="1:8" ht="14.25" x14ac:dyDescent="0.15">
      <c r="A4" s="7" t="s">
        <v>148</v>
      </c>
      <c r="B4" s="16">
        <v>68.857142857142861</v>
      </c>
      <c r="C4" s="16">
        <v>139.63272727272729</v>
      </c>
      <c r="D4" s="16">
        <v>31.310753246753258</v>
      </c>
      <c r="E4" s="16">
        <v>5.8077561071570765</v>
      </c>
      <c r="F4" s="8">
        <v>1</v>
      </c>
      <c r="H4" s="39">
        <v>77</v>
      </c>
    </row>
    <row r="5" spans="1:8" ht="14.25" x14ac:dyDescent="0.15">
      <c r="A5" s="7" t="s">
        <v>147</v>
      </c>
      <c r="B5" s="16">
        <v>15</v>
      </c>
      <c r="C5" s="16">
        <v>18.048500000000001</v>
      </c>
      <c r="D5" s="16">
        <v>0.60430000000000006</v>
      </c>
      <c r="E5" s="16">
        <v>29.814514584289633</v>
      </c>
      <c r="F5" s="8" t="s">
        <v>152</v>
      </c>
      <c r="H5" s="39">
        <v>4</v>
      </c>
    </row>
    <row r="6" spans="1:8" ht="14.25" x14ac:dyDescent="0.15">
      <c r="A6" s="33" t="s">
        <v>149</v>
      </c>
      <c r="B6" s="16">
        <v>50.5</v>
      </c>
      <c r="C6" s="16">
        <v>188.8</v>
      </c>
      <c r="D6" s="16">
        <v>62.515000000000001</v>
      </c>
      <c r="E6" s="16">
        <v>3.197067976123408</v>
      </c>
      <c r="F6" s="8" t="s">
        <v>1</v>
      </c>
      <c r="H6" s="40">
        <v>3</v>
      </c>
    </row>
    <row r="7" spans="1:8" x14ac:dyDescent="0.15">
      <c r="A7" s="37" t="s">
        <v>153</v>
      </c>
      <c r="B7" s="32">
        <f>(B3*H3+B4*H4+B5*H5+B6*H6)/121</f>
        <v>57.210743801652896</v>
      </c>
      <c r="C7" s="32">
        <f>(C3*H3+C4*H4+C5*H5+C6*H6)/121</f>
        <v>97.860661157024808</v>
      </c>
      <c r="D7" s="32">
        <f>(D3*H3+D4*H4+D5*H5+D6*H6)/121</f>
        <v>22.450748760330583</v>
      </c>
      <c r="E7" s="32">
        <f>(E3*H3+E4*H4+E5*H5+E6*H6)/121</f>
        <v>6.9511221833495309</v>
      </c>
    </row>
  </sheetData>
  <mergeCells count="4">
    <mergeCell ref="A1:A2"/>
    <mergeCell ref="B1:B2"/>
    <mergeCell ref="C1:E1"/>
    <mergeCell ref="F1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Treadle-benchmark</vt:lpstr>
      <vt:lpstr>Agda-benchmarks</vt:lpstr>
      <vt:lpstr>Our-own</vt:lpstr>
      <vt:lpstr>Chisel-Book-benchmarks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keyin</dc:creator>
  <cp:lastModifiedBy>S3L</cp:lastModifiedBy>
  <dcterms:created xsi:type="dcterms:W3CDTF">2022-10-27T01:22:00Z</dcterms:created>
  <dcterms:modified xsi:type="dcterms:W3CDTF">2023-04-13T14:02:15Z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0970B729C26643F69A724505247CD6D7</vt:lpwstr>
  </property>
  <property fmtid="{D5CDD505-2E9C-101B-9397-08002B2CF9AE}" pid="3" name="KSOProductBuildVer">
    <vt:lpwstr>2052-11.1.0.12598</vt:lpwstr>
  </property>
</Properties>
</file>